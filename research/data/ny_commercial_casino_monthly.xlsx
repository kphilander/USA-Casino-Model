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MERCIAL GAMING\7_Monthly Website Reports_Commercial\"/>
    </mc:Choice>
  </mc:AlternateContent>
  <xr:revisionPtr revIDLastSave="0" documentId="13_ncr:1_{D188C8E7-AEFA-4116-A57F-98A80A8EF613}" xr6:coauthVersionLast="47" xr6:coauthVersionMax="47" xr10:uidLastSave="{00000000-0000-0000-0000-000000000000}"/>
  <bookViews>
    <workbookView xWindow="28680" yWindow="-120" windowWidth="29040" windowHeight="15720" xr2:uid="{947412D3-46CF-4AF7-8566-D832480FDE5D}"/>
  </bookViews>
  <sheets>
    <sheet name="FY 25-26" sheetId="18" r:id="rId1"/>
    <sheet name="FY 24-25" sheetId="12" r:id="rId2"/>
    <sheet name="FY 23-24" sheetId="9" r:id="rId3"/>
    <sheet name="FY 22-23" sheetId="10" r:id="rId4"/>
    <sheet name="FY 21-22" sheetId="11" r:id="rId5"/>
    <sheet name="FY 20-21" sheetId="13" r:id="rId6"/>
    <sheet name="FY 19-20" sheetId="14" r:id="rId7"/>
    <sheet name="FY 18-19" sheetId="15" r:id="rId8"/>
    <sheet name="FY 17-18" sheetId="16" r:id="rId9"/>
    <sheet name="FY 16-17" sheetId="17" r:id="rId10"/>
  </sheets>
  <externalReferences>
    <externalReference r:id="rId11"/>
    <externalReference r:id="rId12"/>
    <externalReference r:id="rId13"/>
    <externalReference r:id="rId14"/>
  </externalReferences>
  <definedNames>
    <definedName name="_xlnm.Print_Area" localSheetId="9">'FY 16-17'!$A$1:$W$43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18" l="1"/>
  <c r="I24" i="18"/>
  <c r="X24" i="18"/>
  <c r="Y24" i="18"/>
  <c r="Z24" i="18"/>
  <c r="AA24" i="18"/>
  <c r="X23" i="18"/>
  <c r="Y23" i="18"/>
  <c r="Z23" i="18"/>
  <c r="AA23" i="18"/>
  <c r="X22" i="18"/>
  <c r="Y22" i="18"/>
  <c r="Z22" i="18"/>
  <c r="AA22" i="18"/>
  <c r="X21" i="18"/>
  <c r="Y21" i="18"/>
  <c r="Z21" i="18"/>
  <c r="AA21" i="18"/>
  <c r="X20" i="18"/>
  <c r="Y20" i="18"/>
  <c r="Z20" i="18"/>
  <c r="AA20" i="18"/>
  <c r="X19" i="18"/>
  <c r="Y19" i="18"/>
  <c r="Z19" i="18"/>
  <c r="AA19" i="18"/>
  <c r="AA18" i="18"/>
  <c r="X18" i="18" l="1"/>
  <c r="Y18" i="18"/>
  <c r="Z18" i="18"/>
  <c r="Y17" i="18"/>
  <c r="Z17" i="18"/>
  <c r="AA17" i="18"/>
  <c r="X17" i="18"/>
  <c r="X16" i="18"/>
  <c r="Y16" i="18"/>
  <c r="Z16" i="18"/>
  <c r="AA16" i="18"/>
  <c r="H27" i="18"/>
  <c r="Q27" i="18"/>
  <c r="L27" i="18"/>
  <c r="X26" i="12"/>
  <c r="Y26" i="12"/>
  <c r="Z26" i="12"/>
  <c r="AA26" i="12"/>
  <c r="H26" i="12"/>
  <c r="H25" i="12"/>
  <c r="X25" i="12"/>
  <c r="Y25" i="12"/>
  <c r="Z25" i="12"/>
  <c r="AA25" i="12"/>
  <c r="AA15" i="18"/>
  <c r="C16" i="18" l="1"/>
  <c r="D16" i="18"/>
  <c r="E16" i="18"/>
  <c r="F16" i="18"/>
  <c r="H16" i="18"/>
  <c r="L16" i="18"/>
  <c r="M16" i="18"/>
  <c r="N16" i="18"/>
  <c r="O16" i="18"/>
  <c r="Q16" i="18"/>
  <c r="R16" i="18"/>
  <c r="T16" i="18"/>
  <c r="U16" i="18"/>
  <c r="W16" i="18"/>
  <c r="C17" i="18"/>
  <c r="D17" i="18"/>
  <c r="E17" i="18"/>
  <c r="F17" i="18"/>
  <c r="H17" i="18"/>
  <c r="L17" i="18"/>
  <c r="M17" i="18"/>
  <c r="N17" i="18"/>
  <c r="O17" i="18"/>
  <c r="Q17" i="18"/>
  <c r="R17" i="18"/>
  <c r="T17" i="18"/>
  <c r="U17" i="18"/>
  <c r="W17" i="18"/>
  <c r="C18" i="18"/>
  <c r="D18" i="18"/>
  <c r="E18" i="18"/>
  <c r="F18" i="18"/>
  <c r="H18" i="18"/>
  <c r="L18" i="18"/>
  <c r="M18" i="18"/>
  <c r="N18" i="18"/>
  <c r="O18" i="18"/>
  <c r="Q18" i="18"/>
  <c r="R18" i="18"/>
  <c r="T18" i="18"/>
  <c r="U18" i="18"/>
  <c r="W18" i="18"/>
  <c r="C19" i="18"/>
  <c r="D19" i="18"/>
  <c r="E19" i="18"/>
  <c r="F19" i="18"/>
  <c r="H19" i="18"/>
  <c r="L19" i="18"/>
  <c r="M19" i="18"/>
  <c r="N19" i="18"/>
  <c r="O19" i="18"/>
  <c r="Q19" i="18"/>
  <c r="R19" i="18"/>
  <c r="T19" i="18"/>
  <c r="U19" i="18"/>
  <c r="W19" i="18"/>
  <c r="C20" i="18"/>
  <c r="D20" i="18"/>
  <c r="E20" i="18"/>
  <c r="F20" i="18"/>
  <c r="I20" i="18" s="1"/>
  <c r="H20" i="18"/>
  <c r="L20" i="18"/>
  <c r="M20" i="18"/>
  <c r="N20" i="18"/>
  <c r="O20" i="18"/>
  <c r="Q20" i="18"/>
  <c r="R20" i="18"/>
  <c r="T20" i="18"/>
  <c r="U20" i="18"/>
  <c r="W20" i="18"/>
  <c r="C21" i="18"/>
  <c r="D21" i="18"/>
  <c r="E21" i="18"/>
  <c r="F21" i="18"/>
  <c r="H21" i="18"/>
  <c r="L21" i="18"/>
  <c r="M21" i="18"/>
  <c r="N21" i="18"/>
  <c r="O21" i="18"/>
  <c r="Q21" i="18"/>
  <c r="R21" i="18"/>
  <c r="T21" i="18"/>
  <c r="U21" i="18"/>
  <c r="W21" i="18"/>
  <c r="C22" i="18"/>
  <c r="D22" i="18"/>
  <c r="E22" i="18"/>
  <c r="F22" i="18"/>
  <c r="H22" i="18"/>
  <c r="L22" i="18"/>
  <c r="M22" i="18"/>
  <c r="N22" i="18"/>
  <c r="O22" i="18"/>
  <c r="Q22" i="18"/>
  <c r="R22" i="18"/>
  <c r="T22" i="18"/>
  <c r="U22" i="18"/>
  <c r="W22" i="18"/>
  <c r="C23" i="18"/>
  <c r="D23" i="18"/>
  <c r="E23" i="18"/>
  <c r="F23" i="18"/>
  <c r="H23" i="18"/>
  <c r="L23" i="18"/>
  <c r="M23" i="18"/>
  <c r="N23" i="18"/>
  <c r="O23" i="18"/>
  <c r="Q23" i="18"/>
  <c r="R23" i="18"/>
  <c r="T23" i="18"/>
  <c r="U23" i="18"/>
  <c r="W23" i="18"/>
  <c r="C24" i="18"/>
  <c r="D24" i="18"/>
  <c r="E24" i="18"/>
  <c r="F24" i="18"/>
  <c r="H24" i="18"/>
  <c r="L24" i="18"/>
  <c r="M24" i="18"/>
  <c r="N24" i="18"/>
  <c r="O24" i="18"/>
  <c r="Q24" i="18"/>
  <c r="R24" i="18"/>
  <c r="T24" i="18"/>
  <c r="U24" i="18"/>
  <c r="W24" i="18"/>
  <c r="C25" i="18"/>
  <c r="D25" i="18"/>
  <c r="E25" i="18"/>
  <c r="F25" i="18"/>
  <c r="H25" i="18"/>
  <c r="L25" i="18"/>
  <c r="M25" i="18"/>
  <c r="N25" i="18"/>
  <c r="O25" i="18"/>
  <c r="Q25" i="18"/>
  <c r="R25" i="18"/>
  <c r="T25" i="18"/>
  <c r="U25" i="18"/>
  <c r="W25" i="18"/>
  <c r="C26" i="18"/>
  <c r="D26" i="18"/>
  <c r="E26" i="18"/>
  <c r="F26" i="18"/>
  <c r="H26" i="18"/>
  <c r="L26" i="18"/>
  <c r="M26" i="18"/>
  <c r="N26" i="18"/>
  <c r="O26" i="18"/>
  <c r="Q26" i="18"/>
  <c r="R26" i="18"/>
  <c r="T26" i="18"/>
  <c r="U26" i="18"/>
  <c r="W26" i="18"/>
  <c r="Z15" i="18"/>
  <c r="Y15" i="18"/>
  <c r="X15" i="18"/>
  <c r="W15" i="18"/>
  <c r="U15" i="18"/>
  <c r="T15" i="18"/>
  <c r="R15" i="18"/>
  <c r="Q15" i="18"/>
  <c r="O15" i="18"/>
  <c r="N15" i="18"/>
  <c r="M15" i="18"/>
  <c r="L15" i="18"/>
  <c r="H15" i="18"/>
  <c r="F15" i="18"/>
  <c r="E15" i="18"/>
  <c r="D15" i="18"/>
  <c r="C15" i="18"/>
  <c r="AA24" i="12"/>
  <c r="Z24" i="12"/>
  <c r="Y24" i="12"/>
  <c r="X24" i="12"/>
  <c r="H24" i="12"/>
  <c r="H23" i="12"/>
  <c r="H22" i="12"/>
  <c r="H20" i="12"/>
  <c r="H19" i="12"/>
  <c r="AA23" i="12"/>
  <c r="Z23" i="12"/>
  <c r="Y23" i="12"/>
  <c r="X23" i="12"/>
  <c r="AA22" i="12"/>
  <c r="Y22" i="12"/>
  <c r="Z22" i="12"/>
  <c r="X22" i="12"/>
  <c r="Y24" i="16"/>
  <c r="Y23" i="16"/>
  <c r="Y22" i="16"/>
  <c r="Y21" i="16"/>
  <c r="Y20" i="16"/>
  <c r="Y19" i="16"/>
  <c r="Y18" i="16"/>
  <c r="Y17" i="16"/>
  <c r="Y16" i="16"/>
  <c r="Y15" i="16"/>
  <c r="W24" i="16"/>
  <c r="W23" i="16"/>
  <c r="W22" i="16"/>
  <c r="W21" i="16"/>
  <c r="W20" i="16"/>
  <c r="W19" i="16"/>
  <c r="W18" i="16"/>
  <c r="W17" i="16"/>
  <c r="W16" i="16"/>
  <c r="W15" i="16"/>
  <c r="V24" i="16"/>
  <c r="V23" i="16"/>
  <c r="V22" i="16"/>
  <c r="V21" i="16"/>
  <c r="V20" i="16"/>
  <c r="V19" i="16"/>
  <c r="V18" i="16"/>
  <c r="V17" i="16"/>
  <c r="V16" i="16"/>
  <c r="V15" i="16"/>
  <c r="U24" i="16"/>
  <c r="U23" i="16"/>
  <c r="U22" i="16"/>
  <c r="U21" i="16"/>
  <c r="U20" i="16"/>
  <c r="U19" i="16"/>
  <c r="U18" i="16"/>
  <c r="U17" i="16"/>
  <c r="U16" i="16"/>
  <c r="U15" i="16"/>
  <c r="R24" i="16"/>
  <c r="R23" i="16"/>
  <c r="R22" i="16"/>
  <c r="R21" i="16"/>
  <c r="R20" i="16"/>
  <c r="R19" i="16"/>
  <c r="R18" i="16"/>
  <c r="R17" i="16"/>
  <c r="R16" i="16"/>
  <c r="R15" i="16"/>
  <c r="Q24" i="16"/>
  <c r="Q23" i="16"/>
  <c r="Q22" i="16"/>
  <c r="Q21" i="16"/>
  <c r="Q20" i="16"/>
  <c r="Q19" i="16"/>
  <c r="Q18" i="16"/>
  <c r="Q17" i="16"/>
  <c r="Q16" i="16"/>
  <c r="Q15" i="16"/>
  <c r="O24" i="16"/>
  <c r="O23" i="16"/>
  <c r="O22" i="16"/>
  <c r="O21" i="16"/>
  <c r="O20" i="16"/>
  <c r="O19" i="16"/>
  <c r="O18" i="16"/>
  <c r="O17" i="16"/>
  <c r="O16" i="16"/>
  <c r="O15" i="16"/>
  <c r="N24" i="16"/>
  <c r="N23" i="16"/>
  <c r="N22" i="16"/>
  <c r="N21" i="16"/>
  <c r="N20" i="16"/>
  <c r="N19" i="16"/>
  <c r="N18" i="16"/>
  <c r="N17" i="16"/>
  <c r="N16" i="16"/>
  <c r="N15" i="16"/>
  <c r="M24" i="16"/>
  <c r="M23" i="16"/>
  <c r="M22" i="16"/>
  <c r="M21" i="16"/>
  <c r="M20" i="16"/>
  <c r="M19" i="16"/>
  <c r="M18" i="16"/>
  <c r="M17" i="16"/>
  <c r="M16" i="16"/>
  <c r="M15" i="16"/>
  <c r="I23" i="18" l="1"/>
  <c r="I22" i="18"/>
  <c r="I21" i="18"/>
  <c r="I19" i="18"/>
  <c r="I18" i="18"/>
  <c r="I17" i="18"/>
  <c r="I16" i="18"/>
  <c r="D27" i="18"/>
  <c r="U27" i="18"/>
  <c r="C27" i="18"/>
  <c r="T27" i="18"/>
  <c r="N27" i="18"/>
  <c r="AA27" i="18"/>
  <c r="X27" i="18"/>
  <c r="R27" i="18"/>
  <c r="W27" i="18"/>
  <c r="E27" i="18"/>
  <c r="F27" i="18"/>
  <c r="Y27" i="18"/>
  <c r="Z27" i="18"/>
  <c r="O27" i="18"/>
  <c r="M27" i="18"/>
  <c r="I15" i="18"/>
  <c r="L24" i="16"/>
  <c r="L23" i="16"/>
  <c r="L22" i="16"/>
  <c r="L21" i="16"/>
  <c r="L20" i="16"/>
  <c r="L19" i="16"/>
  <c r="L18" i="16"/>
  <c r="L17" i="16"/>
  <c r="L16" i="16"/>
  <c r="L15" i="16"/>
  <c r="H24" i="16"/>
  <c r="H23" i="16"/>
  <c r="H22" i="16"/>
  <c r="H21" i="16"/>
  <c r="H20" i="16"/>
  <c r="H19" i="16"/>
  <c r="H18" i="16"/>
  <c r="H17" i="16"/>
  <c r="H16" i="16"/>
  <c r="H15" i="16"/>
  <c r="F24" i="16"/>
  <c r="F23" i="16"/>
  <c r="F22" i="16"/>
  <c r="F21" i="16"/>
  <c r="F20" i="16"/>
  <c r="F19" i="16"/>
  <c r="F18" i="16"/>
  <c r="F17" i="16"/>
  <c r="F16" i="16"/>
  <c r="F15" i="16"/>
  <c r="E24" i="16"/>
  <c r="E23" i="16"/>
  <c r="E22" i="16"/>
  <c r="E21" i="16"/>
  <c r="E20" i="16"/>
  <c r="E19" i="16"/>
  <c r="E18" i="16"/>
  <c r="E17" i="16"/>
  <c r="E16" i="16"/>
  <c r="E15" i="16"/>
  <c r="D24" i="16"/>
  <c r="D23" i="16"/>
  <c r="D22" i="16"/>
  <c r="D21" i="16"/>
  <c r="D20" i="16"/>
  <c r="D19" i="16"/>
  <c r="D18" i="16"/>
  <c r="D17" i="16"/>
  <c r="D16" i="16"/>
  <c r="D15" i="16"/>
  <c r="C24" i="16"/>
  <c r="C23" i="16"/>
  <c r="C22" i="16"/>
  <c r="C21" i="16"/>
  <c r="C20" i="16"/>
  <c r="C19" i="16"/>
  <c r="C18" i="16"/>
  <c r="C17" i="16"/>
  <c r="C16" i="16"/>
  <c r="C15" i="16"/>
  <c r="Y29" i="18" l="1"/>
  <c r="E29" i="18"/>
  <c r="X29" i="18"/>
  <c r="D29" i="18"/>
  <c r="F29" i="18"/>
  <c r="O29" i="18"/>
  <c r="Q27" i="17"/>
  <c r="L27" i="17"/>
  <c r="H27" i="17" l="1"/>
  <c r="W26" i="17"/>
  <c r="V26" i="17"/>
  <c r="U26" i="17"/>
  <c r="R26" i="17"/>
  <c r="O26" i="17"/>
  <c r="N26" i="17"/>
  <c r="M26" i="17"/>
  <c r="H26" i="17"/>
  <c r="F26" i="17"/>
  <c r="E26" i="17"/>
  <c r="D26" i="17"/>
  <c r="C26" i="17"/>
  <c r="U25" i="17"/>
  <c r="R25" i="17"/>
  <c r="O25" i="17"/>
  <c r="N25" i="17"/>
  <c r="M25" i="17"/>
  <c r="L25" i="17"/>
  <c r="H25" i="17"/>
  <c r="F25" i="17"/>
  <c r="E25" i="17"/>
  <c r="D25" i="17"/>
  <c r="C25" i="17"/>
  <c r="W24" i="17"/>
  <c r="V24" i="17"/>
  <c r="U24" i="17"/>
  <c r="R24" i="17"/>
  <c r="Q24" i="17"/>
  <c r="O24" i="17"/>
  <c r="N24" i="17"/>
  <c r="M24" i="17"/>
  <c r="L24" i="17"/>
  <c r="H24" i="17"/>
  <c r="F24" i="17" l="1"/>
  <c r="E24" i="17"/>
  <c r="D24" i="17"/>
  <c r="C24" i="17"/>
  <c r="V23" i="17"/>
  <c r="U23" i="17"/>
  <c r="R23" i="17"/>
  <c r="Q23" i="17"/>
  <c r="O23" i="17"/>
  <c r="N23" i="17"/>
  <c r="M23" i="17"/>
  <c r="L23" i="17"/>
  <c r="H23" i="17"/>
  <c r="F23" i="17"/>
  <c r="E23" i="17" l="1"/>
  <c r="D23" i="17"/>
  <c r="C23" i="17"/>
  <c r="U26" i="16" l="1"/>
  <c r="U25" i="16"/>
  <c r="R26" i="16"/>
  <c r="R25" i="16"/>
  <c r="O26" i="16"/>
  <c r="O25" i="16"/>
  <c r="N26" i="16"/>
  <c r="N25" i="16"/>
  <c r="M26" i="16"/>
  <c r="M25" i="16"/>
  <c r="F26" i="16" l="1"/>
  <c r="F25" i="16"/>
  <c r="E26" i="16" l="1"/>
  <c r="E25" i="16"/>
  <c r="D26" i="16"/>
  <c r="D25" i="16"/>
  <c r="C26" i="16"/>
  <c r="C25" i="16"/>
  <c r="Q27" i="16" l="1"/>
  <c r="L27" i="16"/>
  <c r="Q27" i="15"/>
  <c r="L27" i="15"/>
  <c r="H27" i="16"/>
  <c r="V26" i="15"/>
  <c r="V25" i="15"/>
  <c r="V24" i="15"/>
  <c r="V23" i="15"/>
  <c r="V22" i="15"/>
  <c r="V21" i="15"/>
  <c r="V20" i="15"/>
  <c r="V19" i="15"/>
  <c r="V18" i="15"/>
  <c r="V17" i="15"/>
  <c r="V16" i="15"/>
  <c r="V15" i="15"/>
  <c r="Y26" i="15" l="1"/>
  <c r="Y25" i="15"/>
  <c r="Y24" i="15"/>
  <c r="Y23" i="15"/>
  <c r="Y22" i="15"/>
  <c r="Y21" i="15"/>
  <c r="Y20" i="15"/>
  <c r="Y19" i="15"/>
  <c r="Y18" i="15"/>
  <c r="Y17" i="15"/>
  <c r="Y16" i="15"/>
  <c r="Y15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O26" i="15"/>
  <c r="O25" i="15"/>
  <c r="O24" i="15"/>
  <c r="O23" i="15"/>
  <c r="O22" i="15"/>
  <c r="O21" i="15"/>
  <c r="O20" i="15"/>
  <c r="O19" i="15"/>
  <c r="O18" i="15"/>
  <c r="O17" i="15"/>
  <c r="O16" i="15"/>
  <c r="N26" i="15"/>
  <c r="N25" i="15"/>
  <c r="N24" i="15"/>
  <c r="N23" i="15"/>
  <c r="N22" i="15"/>
  <c r="N21" i="15"/>
  <c r="N20" i="15"/>
  <c r="N19" i="15"/>
  <c r="N18" i="15"/>
  <c r="N17" i="15"/>
  <c r="N16" i="15"/>
  <c r="M26" i="15"/>
  <c r="M25" i="15"/>
  <c r="M24" i="15"/>
  <c r="M23" i="15"/>
  <c r="M22" i="15"/>
  <c r="M21" i="15"/>
  <c r="M20" i="15"/>
  <c r="M19" i="15"/>
  <c r="M18" i="15"/>
  <c r="M17" i="15"/>
  <c r="M16" i="15"/>
  <c r="O15" i="15"/>
  <c r="N15" i="15"/>
  <c r="M15" i="15"/>
  <c r="H27" i="15"/>
  <c r="F26" i="15"/>
  <c r="F25" i="15"/>
  <c r="F24" i="15"/>
  <c r="F23" i="15"/>
  <c r="F22" i="15"/>
  <c r="F21" i="15"/>
  <c r="F20" i="15"/>
  <c r="F19" i="15"/>
  <c r="F18" i="15"/>
  <c r="F17" i="15"/>
  <c r="F16" i="15"/>
  <c r="E26" i="15"/>
  <c r="E25" i="15"/>
  <c r="E24" i="15"/>
  <c r="E23" i="15"/>
  <c r="E22" i="15"/>
  <c r="E21" i="15"/>
  <c r="E20" i="15"/>
  <c r="E19" i="15"/>
  <c r="E18" i="15"/>
  <c r="E17" i="15"/>
  <c r="E16" i="15"/>
  <c r="D26" i="15"/>
  <c r="D25" i="15"/>
  <c r="D24" i="15"/>
  <c r="D23" i="15"/>
  <c r="D22" i="15"/>
  <c r="D21" i="15"/>
  <c r="D20" i="15"/>
  <c r="D19" i="15"/>
  <c r="D18" i="15"/>
  <c r="D17" i="15"/>
  <c r="D16" i="15"/>
  <c r="C26" i="15"/>
  <c r="C25" i="15"/>
  <c r="C24" i="15"/>
  <c r="C23" i="15"/>
  <c r="C22" i="15"/>
  <c r="C21" i="15"/>
  <c r="C20" i="15"/>
  <c r="C19" i="15"/>
  <c r="C18" i="15"/>
  <c r="C17" i="15"/>
  <c r="C16" i="15"/>
  <c r="F15" i="15"/>
  <c r="E15" i="15"/>
  <c r="D15" i="15"/>
  <c r="C15" i="15"/>
  <c r="Q27" i="14"/>
  <c r="L27" i="14"/>
  <c r="W26" i="14"/>
  <c r="W25" i="14"/>
  <c r="W24" i="14"/>
  <c r="W23" i="14"/>
  <c r="W22" i="14"/>
  <c r="W21" i="14"/>
  <c r="W20" i="14"/>
  <c r="W19" i="14"/>
  <c r="W18" i="14"/>
  <c r="W17" i="14"/>
  <c r="W16" i="14"/>
  <c r="W15" i="14"/>
  <c r="Z26" i="14" l="1"/>
  <c r="Z25" i="14"/>
  <c r="Z24" i="14"/>
  <c r="Z23" i="14"/>
  <c r="Z22" i="14"/>
  <c r="Z21" i="14"/>
  <c r="Z20" i="14"/>
  <c r="Z19" i="14"/>
  <c r="Z18" i="14"/>
  <c r="Z17" i="14"/>
  <c r="Z16" i="14"/>
  <c r="Z15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U26" i="14" l="1"/>
  <c r="U25" i="14"/>
  <c r="U24" i="14"/>
  <c r="U23" i="14"/>
  <c r="U22" i="14"/>
  <c r="U21" i="14"/>
  <c r="U20" i="14"/>
  <c r="U19" i="14"/>
  <c r="U18" i="14"/>
  <c r="U17" i="14"/>
  <c r="U16" i="14"/>
  <c r="U15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H27" i="14"/>
  <c r="F26" i="14"/>
  <c r="F25" i="14"/>
  <c r="F24" i="14"/>
  <c r="F23" i="14"/>
  <c r="F22" i="14"/>
  <c r="F21" i="14"/>
  <c r="F20" i="14"/>
  <c r="F19" i="14"/>
  <c r="F18" i="14"/>
  <c r="F17" i="14"/>
  <c r="F16" i="14"/>
  <c r="E26" i="14"/>
  <c r="E25" i="14"/>
  <c r="E24" i="14"/>
  <c r="E23" i="14"/>
  <c r="E22" i="14"/>
  <c r="E21" i="14"/>
  <c r="E20" i="14"/>
  <c r="E19" i="14"/>
  <c r="E18" i="14"/>
  <c r="E17" i="14"/>
  <c r="E16" i="14"/>
  <c r="D26" i="14"/>
  <c r="D25" i="14"/>
  <c r="D24" i="14"/>
  <c r="D23" i="14"/>
  <c r="D22" i="14"/>
  <c r="D21" i="14"/>
  <c r="D20" i="14"/>
  <c r="D19" i="14"/>
  <c r="D18" i="14"/>
  <c r="D17" i="14"/>
  <c r="D16" i="14"/>
  <c r="F15" i="14"/>
  <c r="E15" i="14"/>
  <c r="D15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Z26" i="13" l="1"/>
  <c r="Z25" i="13"/>
  <c r="Z24" i="13"/>
  <c r="Z23" i="13"/>
  <c r="Z22" i="13"/>
  <c r="Z21" i="13"/>
  <c r="Z20" i="13"/>
  <c r="W26" i="13" l="1"/>
  <c r="W25" i="13"/>
  <c r="W24" i="13"/>
  <c r="W23" i="13"/>
  <c r="W22" i="13"/>
  <c r="W21" i="13"/>
  <c r="W20" i="13"/>
  <c r="U26" i="13" l="1"/>
  <c r="U25" i="13"/>
  <c r="U24" i="13"/>
  <c r="U23" i="13"/>
  <c r="U22" i="13"/>
  <c r="U21" i="13"/>
  <c r="U20" i="13"/>
  <c r="R26" i="13" l="1"/>
  <c r="R25" i="13"/>
  <c r="R24" i="13"/>
  <c r="R23" i="13"/>
  <c r="R22" i="13"/>
  <c r="R21" i="13"/>
  <c r="R20" i="13"/>
  <c r="O26" i="13"/>
  <c r="O25" i="13"/>
  <c r="O24" i="13"/>
  <c r="O23" i="13"/>
  <c r="O22" i="13"/>
  <c r="O21" i="13"/>
  <c r="N26" i="13"/>
  <c r="N25" i="13"/>
  <c r="N24" i="13"/>
  <c r="N23" i="13"/>
  <c r="N22" i="13"/>
  <c r="N21" i="13"/>
  <c r="M26" i="13"/>
  <c r="M25" i="13"/>
  <c r="M24" i="13"/>
  <c r="M23" i="13"/>
  <c r="M22" i="13"/>
  <c r="M21" i="13"/>
  <c r="O20" i="13"/>
  <c r="N20" i="13"/>
  <c r="M20" i="13"/>
  <c r="H27" i="13"/>
  <c r="F26" i="13"/>
  <c r="F25" i="13"/>
  <c r="F24" i="13"/>
  <c r="F23" i="13"/>
  <c r="F22" i="13"/>
  <c r="F21" i="13"/>
  <c r="E26" i="13"/>
  <c r="E25" i="13"/>
  <c r="E24" i="13"/>
  <c r="E23" i="13"/>
  <c r="E22" i="13"/>
  <c r="E21" i="13"/>
  <c r="D26" i="13"/>
  <c r="D25" i="13"/>
  <c r="D24" i="13"/>
  <c r="D23" i="13"/>
  <c r="D22" i="13"/>
  <c r="D21" i="13"/>
  <c r="C26" i="13"/>
  <c r="C25" i="13"/>
  <c r="C24" i="13"/>
  <c r="C23" i="13"/>
  <c r="C22" i="13"/>
  <c r="C21" i="13"/>
  <c r="F20" i="13"/>
  <c r="E20" i="13"/>
  <c r="D20" i="13"/>
  <c r="C20" i="13"/>
  <c r="W23" i="17" l="1"/>
  <c r="Q26" i="17" l="1"/>
  <c r="Q25" i="17"/>
  <c r="L26" i="17" l="1"/>
  <c r="W25" i="17" l="1"/>
  <c r="V25" i="17"/>
  <c r="R27" i="17" l="1"/>
  <c r="O27" i="17"/>
  <c r="N27" i="17"/>
  <c r="M27" i="17"/>
  <c r="F27" i="17"/>
  <c r="E27" i="17"/>
  <c r="D27" i="17"/>
  <c r="C27" i="17"/>
  <c r="I26" i="17"/>
  <c r="I25" i="17"/>
  <c r="I24" i="17"/>
  <c r="W27" i="17"/>
  <c r="V27" i="17"/>
  <c r="A16" i="17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O29" i="17" l="1"/>
  <c r="I27" i="17"/>
  <c r="E29" i="17"/>
  <c r="D29" i="17"/>
  <c r="F29" i="17"/>
  <c r="I23" i="17"/>
  <c r="U27" i="17"/>
  <c r="W29" i="17" s="1"/>
  <c r="V29" i="17" l="1"/>
  <c r="Q26" i="16"/>
  <c r="Q25" i="16"/>
  <c r="L26" i="16"/>
  <c r="L25" i="16"/>
  <c r="Y26" i="16" l="1"/>
  <c r="Y25" i="16"/>
  <c r="W26" i="16"/>
  <c r="W25" i="16"/>
  <c r="V26" i="16"/>
  <c r="V25" i="16"/>
  <c r="H26" i="16"/>
  <c r="H25" i="16"/>
  <c r="I15" i="16" l="1"/>
  <c r="X27" i="16"/>
  <c r="R27" i="16"/>
  <c r="O27" i="16"/>
  <c r="N27" i="16"/>
  <c r="M27" i="16"/>
  <c r="F27" i="16"/>
  <c r="E27" i="16"/>
  <c r="D27" i="16"/>
  <c r="C27" i="16"/>
  <c r="I26" i="16"/>
  <c r="I25" i="16"/>
  <c r="I24" i="16"/>
  <c r="I23" i="16"/>
  <c r="I22" i="16"/>
  <c r="I21" i="16"/>
  <c r="I20" i="16"/>
  <c r="I19" i="16"/>
  <c r="I18" i="16"/>
  <c r="I17" i="16"/>
  <c r="I16" i="16"/>
  <c r="A16" i="16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Y27" i="16"/>
  <c r="Z26" i="15"/>
  <c r="Z25" i="15"/>
  <c r="Z24" i="15"/>
  <c r="Z23" i="15"/>
  <c r="Z22" i="15"/>
  <c r="Z21" i="15"/>
  <c r="Z20" i="15"/>
  <c r="Z19" i="15"/>
  <c r="Z18" i="15"/>
  <c r="Z17" i="15"/>
  <c r="Z16" i="15"/>
  <c r="Z15" i="15"/>
  <c r="X26" i="15"/>
  <c r="X25" i="15"/>
  <c r="X24" i="15"/>
  <c r="X23" i="15"/>
  <c r="X22" i="15"/>
  <c r="X21" i="15"/>
  <c r="X20" i="15"/>
  <c r="X19" i="15"/>
  <c r="X18" i="15"/>
  <c r="X17" i="15"/>
  <c r="X16" i="15"/>
  <c r="X15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Y27" i="15"/>
  <c r="T27" i="15"/>
  <c r="R27" i="15"/>
  <c r="O27" i="15"/>
  <c r="N27" i="15"/>
  <c r="M27" i="15"/>
  <c r="F27" i="15"/>
  <c r="E27" i="15"/>
  <c r="D27" i="15"/>
  <c r="C27" i="15"/>
  <c r="A16" i="15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Q26" i="14"/>
  <c r="Q25" i="14"/>
  <c r="Q24" i="14"/>
  <c r="Q23" i="14"/>
  <c r="Q22" i="14"/>
  <c r="Q21" i="14"/>
  <c r="Q20" i="14"/>
  <c r="Q19" i="14"/>
  <c r="Q18" i="14"/>
  <c r="Q17" i="14"/>
  <c r="Q16" i="14"/>
  <c r="Q15" i="14"/>
  <c r="O29" i="16" l="1"/>
  <c r="D29" i="16"/>
  <c r="E29" i="16"/>
  <c r="F29" i="16"/>
  <c r="W27" i="16"/>
  <c r="V27" i="16"/>
  <c r="I27" i="16"/>
  <c r="U27" i="16"/>
  <c r="F29" i="15"/>
  <c r="D29" i="15"/>
  <c r="Z27" i="15"/>
  <c r="X27" i="15"/>
  <c r="W27" i="15"/>
  <c r="O29" i="15"/>
  <c r="E29" i="15"/>
  <c r="V27" i="15"/>
  <c r="I27" i="15"/>
  <c r="L26" i="14"/>
  <c r="L25" i="14"/>
  <c r="L24" i="14"/>
  <c r="L23" i="14"/>
  <c r="L22" i="14"/>
  <c r="L21" i="14"/>
  <c r="L20" i="14"/>
  <c r="L19" i="14"/>
  <c r="L18" i="14"/>
  <c r="L17" i="14"/>
  <c r="L16" i="14"/>
  <c r="L15" i="14"/>
  <c r="W29" i="16" l="1"/>
  <c r="W29" i="15"/>
  <c r="V29" i="16"/>
  <c r="X29" i="15"/>
  <c r="H21" i="12"/>
  <c r="Q26" i="13" l="1"/>
  <c r="Q25" i="13"/>
  <c r="Q24" i="13"/>
  <c r="Q23" i="13"/>
  <c r="Q22" i="13"/>
  <c r="Q21" i="13"/>
  <c r="Q20" i="13"/>
  <c r="L26" i="13"/>
  <c r="L25" i="13"/>
  <c r="L24" i="13"/>
  <c r="L23" i="13"/>
  <c r="L22" i="13"/>
  <c r="L21" i="13"/>
  <c r="L20" i="13"/>
  <c r="H26" i="13"/>
  <c r="I26" i="13" s="1"/>
  <c r="H25" i="13"/>
  <c r="I25" i="13" s="1"/>
  <c r="H24" i="13"/>
  <c r="I24" i="13" s="1"/>
  <c r="H23" i="13"/>
  <c r="I23" i="13" s="1"/>
  <c r="H22" i="13"/>
  <c r="I22" i="13" s="1"/>
  <c r="H21" i="13"/>
  <c r="I21" i="13" s="1"/>
  <c r="H20" i="13" l="1"/>
  <c r="I20" i="13" s="1"/>
  <c r="H26" i="14"/>
  <c r="I26" i="14" s="1"/>
  <c r="H25" i="14"/>
  <c r="I25" i="14" s="1"/>
  <c r="H24" i="14"/>
  <c r="I24" i="14" s="1"/>
  <c r="H23" i="14"/>
  <c r="I23" i="14" s="1"/>
  <c r="H22" i="14"/>
  <c r="I22" i="14" s="1"/>
  <c r="H21" i="14"/>
  <c r="I21" i="14" s="1"/>
  <c r="H20" i="14"/>
  <c r="I20" i="14" s="1"/>
  <c r="H19" i="14"/>
  <c r="I19" i="14" s="1"/>
  <c r="H18" i="14"/>
  <c r="I18" i="14" s="1"/>
  <c r="H17" i="14"/>
  <c r="I17" i="14" s="1"/>
  <c r="H16" i="14"/>
  <c r="I16" i="14" s="1"/>
  <c r="H15" i="14" l="1"/>
  <c r="I15" i="14" s="1"/>
  <c r="L27" i="13"/>
  <c r="AA19" i="14"/>
  <c r="AA18" i="14"/>
  <c r="AA17" i="14"/>
  <c r="AA16" i="14"/>
  <c r="AA15" i="14"/>
  <c r="Y19" i="14"/>
  <c r="Y18" i="14"/>
  <c r="Y17" i="14"/>
  <c r="Y16" i="14"/>
  <c r="Y15" i="14"/>
  <c r="X19" i="14"/>
  <c r="X18" i="14"/>
  <c r="X17" i="14"/>
  <c r="X16" i="14"/>
  <c r="X15" i="14"/>
  <c r="AA26" i="14" l="1"/>
  <c r="AA25" i="14"/>
  <c r="AA24" i="14"/>
  <c r="AA23" i="14"/>
  <c r="AA22" i="14"/>
  <c r="AA21" i="14"/>
  <c r="AA20" i="14"/>
  <c r="Y26" i="14"/>
  <c r="Y25" i="14"/>
  <c r="Y24" i="14"/>
  <c r="Y23" i="14"/>
  <c r="Y22" i="14"/>
  <c r="Y21" i="14"/>
  <c r="Y20" i="14"/>
  <c r="X26" i="14"/>
  <c r="X25" i="14"/>
  <c r="X24" i="14"/>
  <c r="X23" i="14"/>
  <c r="X22" i="14"/>
  <c r="X21" i="14"/>
  <c r="X20" i="14"/>
  <c r="Z27" i="14"/>
  <c r="W27" i="14"/>
  <c r="U27" i="14"/>
  <c r="T27" i="14"/>
  <c r="R27" i="14"/>
  <c r="O27" i="14"/>
  <c r="N27" i="14"/>
  <c r="M27" i="14"/>
  <c r="F27" i="14"/>
  <c r="I27" i="14" s="1"/>
  <c r="E27" i="14"/>
  <c r="D27" i="14"/>
  <c r="C27" i="14"/>
  <c r="A16" i="14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O29" i="14" l="1"/>
  <c r="D29" i="14"/>
  <c r="E29" i="14"/>
  <c r="F29" i="14"/>
  <c r="AA27" i="14"/>
  <c r="Y27" i="14"/>
  <c r="Y29" i="14" s="1"/>
  <c r="X27" i="14"/>
  <c r="X29" i="14" s="1"/>
  <c r="AA26" i="13"/>
  <c r="AA25" i="13"/>
  <c r="AA24" i="13"/>
  <c r="AA23" i="13"/>
  <c r="AA22" i="13"/>
  <c r="AA21" i="13"/>
  <c r="AA20" i="13"/>
  <c r="Y26" i="13" l="1"/>
  <c r="Y25" i="13"/>
  <c r="Y24" i="13"/>
  <c r="Y23" i="13"/>
  <c r="Y22" i="13"/>
  <c r="Y21" i="13"/>
  <c r="Y20" i="13"/>
  <c r="X26" i="13"/>
  <c r="X25" i="13"/>
  <c r="X24" i="13"/>
  <c r="X23" i="13"/>
  <c r="X22" i="13"/>
  <c r="X21" i="13"/>
  <c r="X20" i="13"/>
  <c r="AA27" i="13" l="1"/>
  <c r="Z27" i="13"/>
  <c r="Y27" i="13"/>
  <c r="X27" i="13"/>
  <c r="W27" i="13"/>
  <c r="U27" i="13"/>
  <c r="T27" i="13"/>
  <c r="R27" i="13"/>
  <c r="Q27" i="13"/>
  <c r="O27" i="13"/>
  <c r="N27" i="13"/>
  <c r="M27" i="13"/>
  <c r="F27" i="13"/>
  <c r="I27" i="13" s="1"/>
  <c r="E27" i="13"/>
  <c r="D27" i="13"/>
  <c r="C27" i="13"/>
  <c r="A16" i="13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O29" i="13" l="1"/>
  <c r="E29" i="13"/>
  <c r="F29" i="13"/>
  <c r="X29" i="13"/>
  <c r="Y29" i="13"/>
  <c r="D29" i="13"/>
  <c r="AA21" i="12"/>
  <c r="Z21" i="12"/>
  <c r="Y21" i="12"/>
  <c r="X21" i="12"/>
  <c r="AA20" i="12"/>
  <c r="Z20" i="12"/>
  <c r="Y20" i="12"/>
  <c r="X20" i="12"/>
  <c r="X19" i="12" l="1"/>
  <c r="Y19" i="12"/>
  <c r="Z19" i="12"/>
  <c r="AA19" i="12"/>
  <c r="H17" i="12" l="1"/>
  <c r="H18" i="12"/>
  <c r="Y18" i="12" l="1"/>
  <c r="Z18" i="12"/>
  <c r="AA18" i="12"/>
  <c r="X18" i="12"/>
  <c r="Q17" i="12"/>
  <c r="R17" i="12"/>
  <c r="T17" i="12"/>
  <c r="U17" i="12"/>
  <c r="W17" i="12"/>
  <c r="X17" i="12"/>
  <c r="Y17" i="12"/>
  <c r="Z17" i="12"/>
  <c r="AA17" i="12"/>
  <c r="Q18" i="12"/>
  <c r="R18" i="12"/>
  <c r="T18" i="12"/>
  <c r="U18" i="12"/>
  <c r="W18" i="12"/>
  <c r="Q19" i="12"/>
  <c r="R19" i="12"/>
  <c r="T19" i="12"/>
  <c r="U19" i="12"/>
  <c r="W19" i="12"/>
  <c r="Q20" i="12"/>
  <c r="R20" i="12"/>
  <c r="T20" i="12"/>
  <c r="U20" i="12"/>
  <c r="W20" i="12"/>
  <c r="Q21" i="12"/>
  <c r="R21" i="12"/>
  <c r="T21" i="12"/>
  <c r="U21" i="12"/>
  <c r="W21" i="12"/>
  <c r="Q22" i="12"/>
  <c r="R22" i="12"/>
  <c r="T22" i="12"/>
  <c r="U22" i="12"/>
  <c r="W22" i="12"/>
  <c r="Q23" i="12"/>
  <c r="R23" i="12"/>
  <c r="T23" i="12"/>
  <c r="U23" i="12"/>
  <c r="W23" i="12"/>
  <c r="Q24" i="12"/>
  <c r="R24" i="12"/>
  <c r="T24" i="12"/>
  <c r="U24" i="12"/>
  <c r="W24" i="12"/>
  <c r="Q25" i="12"/>
  <c r="R25" i="12"/>
  <c r="T25" i="12"/>
  <c r="U25" i="12"/>
  <c r="W25" i="12"/>
  <c r="Q26" i="12"/>
  <c r="R26" i="12"/>
  <c r="T26" i="12"/>
  <c r="U26" i="12"/>
  <c r="W26" i="12"/>
  <c r="M17" i="12"/>
  <c r="N17" i="12"/>
  <c r="O17" i="12"/>
  <c r="M18" i="12"/>
  <c r="N18" i="12"/>
  <c r="O18" i="12"/>
  <c r="M19" i="12"/>
  <c r="N19" i="12"/>
  <c r="O19" i="12"/>
  <c r="M20" i="12"/>
  <c r="N20" i="12"/>
  <c r="O20" i="12"/>
  <c r="M21" i="12"/>
  <c r="N21" i="12"/>
  <c r="O21" i="12"/>
  <c r="M22" i="12"/>
  <c r="N22" i="12"/>
  <c r="O22" i="12"/>
  <c r="M23" i="12"/>
  <c r="N23" i="12"/>
  <c r="O23" i="12"/>
  <c r="M24" i="12"/>
  <c r="N24" i="12"/>
  <c r="O24" i="12"/>
  <c r="M25" i="12"/>
  <c r="N25" i="12"/>
  <c r="O25" i="12"/>
  <c r="M26" i="12"/>
  <c r="N26" i="12"/>
  <c r="O26" i="12"/>
  <c r="AA16" i="12"/>
  <c r="AA15" i="12"/>
  <c r="X16" i="12"/>
  <c r="X15" i="12"/>
  <c r="Y16" i="12"/>
  <c r="Y15" i="12"/>
  <c r="Z16" i="12"/>
  <c r="Z15" i="12"/>
  <c r="M16" i="12"/>
  <c r="N16" i="12"/>
  <c r="O16" i="12"/>
  <c r="Q16" i="12"/>
  <c r="R16" i="12"/>
  <c r="T16" i="12"/>
  <c r="U16" i="12"/>
  <c r="W16" i="12"/>
  <c r="H16" i="12" l="1"/>
  <c r="W15" i="12"/>
  <c r="U15" i="12"/>
  <c r="T15" i="12"/>
  <c r="R15" i="12"/>
  <c r="Q15" i="12"/>
  <c r="M15" i="12"/>
  <c r="N15" i="12"/>
  <c r="O15" i="12"/>
  <c r="L16" i="12"/>
  <c r="L17" i="12"/>
  <c r="L18" i="12"/>
  <c r="L19" i="12"/>
  <c r="L20" i="12"/>
  <c r="L21" i="12"/>
  <c r="L22" i="12"/>
  <c r="L23" i="12"/>
  <c r="L24" i="12"/>
  <c r="L25" i="12"/>
  <c r="L26" i="12"/>
  <c r="L15" i="12"/>
  <c r="H15" i="12"/>
  <c r="C16" i="12"/>
  <c r="D16" i="12"/>
  <c r="E16" i="12"/>
  <c r="F16" i="12"/>
  <c r="C17" i="12"/>
  <c r="D17" i="12"/>
  <c r="E17" i="12"/>
  <c r="F17" i="12"/>
  <c r="I17" i="12" s="1"/>
  <c r="C18" i="12"/>
  <c r="D18" i="12"/>
  <c r="E18" i="12"/>
  <c r="F18" i="12"/>
  <c r="I18" i="12" s="1"/>
  <c r="C19" i="12"/>
  <c r="D19" i="12"/>
  <c r="E19" i="12"/>
  <c r="F19" i="12"/>
  <c r="I19" i="12" s="1"/>
  <c r="C20" i="12"/>
  <c r="D20" i="12"/>
  <c r="E20" i="12"/>
  <c r="F20" i="12"/>
  <c r="I20" i="12" s="1"/>
  <c r="C21" i="12"/>
  <c r="D21" i="12"/>
  <c r="E21" i="12"/>
  <c r="F21" i="12"/>
  <c r="I21" i="12" s="1"/>
  <c r="C22" i="12"/>
  <c r="D22" i="12"/>
  <c r="E22" i="12"/>
  <c r="F22" i="12"/>
  <c r="I22" i="12" s="1"/>
  <c r="C23" i="12"/>
  <c r="D23" i="12"/>
  <c r="E23" i="12"/>
  <c r="F23" i="12"/>
  <c r="C24" i="12"/>
  <c r="D24" i="12"/>
  <c r="E24" i="12"/>
  <c r="F24" i="12"/>
  <c r="I24" i="12" s="1"/>
  <c r="C25" i="12"/>
  <c r="D25" i="12"/>
  <c r="E25" i="12"/>
  <c r="F25" i="12"/>
  <c r="I25" i="12" s="1"/>
  <c r="C26" i="12"/>
  <c r="D26" i="12"/>
  <c r="E26" i="12"/>
  <c r="F26" i="12"/>
  <c r="I26" i="12" s="1"/>
  <c r="D15" i="12"/>
  <c r="E15" i="12"/>
  <c r="F15" i="12"/>
  <c r="Q27" i="12"/>
  <c r="C15" i="12"/>
  <c r="I16" i="12" l="1"/>
  <c r="I15" i="12"/>
  <c r="L27" i="12"/>
  <c r="H27" i="12"/>
  <c r="M27" i="12"/>
  <c r="D27" i="12"/>
  <c r="C27" i="12"/>
  <c r="U27" i="12"/>
  <c r="Y27" i="12"/>
  <c r="R27" i="12"/>
  <c r="N27" i="12"/>
  <c r="AA27" i="12"/>
  <c r="Z27" i="12"/>
  <c r="X27" i="12"/>
  <c r="T27" i="12"/>
  <c r="O27" i="12"/>
  <c r="E27" i="12"/>
  <c r="Q27" i="11"/>
  <c r="L27" i="11"/>
  <c r="H27" i="11"/>
  <c r="Q27" i="10"/>
  <c r="L27" i="10"/>
  <c r="E29" i="12" l="1"/>
  <c r="D29" i="12"/>
  <c r="O29" i="12"/>
  <c r="W27" i="12"/>
  <c r="X29" i="12" s="1"/>
  <c r="F27" i="12"/>
  <c r="I27" i="12" s="1"/>
  <c r="H27" i="10"/>
  <c r="H27" i="9"/>
  <c r="Y27" i="11"/>
  <c r="Z27" i="11"/>
  <c r="AA27" i="11"/>
  <c r="U27" i="11"/>
  <c r="T27" i="11"/>
  <c r="N27" i="11"/>
  <c r="M27" i="11"/>
  <c r="D27" i="11"/>
  <c r="E27" i="11"/>
  <c r="A16" i="1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17" i="10"/>
  <c r="A18" i="10" s="1"/>
  <c r="A19" i="10" s="1"/>
  <c r="A20" i="10" s="1"/>
  <c r="A21" i="10" s="1"/>
  <c r="A22" i="10" s="1"/>
  <c r="A23" i="10" s="1"/>
  <c r="A24" i="10" s="1"/>
  <c r="A25" i="10" s="1"/>
  <c r="A26" i="10" s="1"/>
  <c r="A16" i="10"/>
  <c r="F29" i="12" l="1"/>
  <c r="Y29" i="12"/>
  <c r="X27" i="11"/>
  <c r="O27" i="11"/>
  <c r="C27" i="11"/>
  <c r="R27" i="11"/>
  <c r="O29" i="11"/>
  <c r="F27" i="11"/>
  <c r="W27" i="11" l="1"/>
  <c r="X29" i="11" s="1"/>
  <c r="F29" i="11"/>
  <c r="E29" i="11"/>
  <c r="D29" i="11"/>
  <c r="Y29" i="11" l="1"/>
  <c r="X16" i="9" l="1"/>
  <c r="Y16" i="9"/>
  <c r="Z16" i="9"/>
  <c r="AA16" i="9"/>
  <c r="X17" i="9"/>
  <c r="Y17" i="9"/>
  <c r="Z17" i="9"/>
  <c r="AA17" i="9"/>
  <c r="X18" i="9"/>
  <c r="Y18" i="9"/>
  <c r="Z18" i="9"/>
  <c r="AA18" i="9"/>
  <c r="X19" i="9"/>
  <c r="Y19" i="9"/>
  <c r="Z19" i="9"/>
  <c r="AA19" i="9"/>
  <c r="X20" i="9"/>
  <c r="Y20" i="9"/>
  <c r="Z20" i="9"/>
  <c r="AA20" i="9"/>
  <c r="X21" i="9"/>
  <c r="Y21" i="9"/>
  <c r="Z21" i="9"/>
  <c r="AA21" i="9"/>
  <c r="X22" i="9"/>
  <c r="Y22" i="9"/>
  <c r="Z22" i="9"/>
  <c r="AA22" i="9"/>
  <c r="X23" i="9"/>
  <c r="Y23" i="9"/>
  <c r="Z23" i="9"/>
  <c r="AA23" i="9"/>
  <c r="X24" i="9"/>
  <c r="Y24" i="9"/>
  <c r="Z24" i="9"/>
  <c r="AA24" i="9"/>
  <c r="X25" i="9"/>
  <c r="Y25" i="9"/>
  <c r="Z25" i="9"/>
  <c r="AA25" i="9"/>
  <c r="X26" i="9"/>
  <c r="Y26" i="9"/>
  <c r="Z26" i="9"/>
  <c r="AA26" i="9"/>
  <c r="AA15" i="9"/>
  <c r="Z15" i="9"/>
  <c r="Y15" i="9"/>
  <c r="X15" i="9"/>
  <c r="M22" i="9"/>
  <c r="M21" i="9"/>
  <c r="M27" i="10" l="1"/>
  <c r="Y27" i="10"/>
  <c r="F27" i="10"/>
  <c r="Z27" i="10"/>
  <c r="D27" i="10"/>
  <c r="R27" i="10"/>
  <c r="AA27" i="10"/>
  <c r="T27" i="10"/>
  <c r="N27" i="10"/>
  <c r="U27" i="10"/>
  <c r="O27" i="10"/>
  <c r="X27" i="10"/>
  <c r="E27" i="10"/>
  <c r="C27" i="10"/>
  <c r="X27" i="9"/>
  <c r="AA27" i="9"/>
  <c r="Z27" i="9"/>
  <c r="Y27" i="9"/>
  <c r="D29" i="10" l="1"/>
  <c r="O29" i="10"/>
  <c r="W27" i="10"/>
  <c r="Y29" i="10" s="1"/>
  <c r="F29" i="10"/>
  <c r="E29" i="10"/>
  <c r="C17" i="9"/>
  <c r="D17" i="9"/>
  <c r="E17" i="9"/>
  <c r="F17" i="9"/>
  <c r="G17" i="9"/>
  <c r="H17" i="9"/>
  <c r="L17" i="9"/>
  <c r="M17" i="9"/>
  <c r="N17" i="9"/>
  <c r="O17" i="9"/>
  <c r="Q17" i="9"/>
  <c r="R17" i="9"/>
  <c r="T17" i="9"/>
  <c r="U17" i="9"/>
  <c r="C18" i="9"/>
  <c r="D18" i="9"/>
  <c r="E18" i="9"/>
  <c r="F18" i="9"/>
  <c r="G18" i="9"/>
  <c r="H18" i="9"/>
  <c r="L18" i="9"/>
  <c r="M18" i="9"/>
  <c r="N18" i="9"/>
  <c r="O18" i="9"/>
  <c r="Q18" i="9"/>
  <c r="R18" i="9"/>
  <c r="T18" i="9"/>
  <c r="U18" i="9"/>
  <c r="C19" i="9"/>
  <c r="D19" i="9"/>
  <c r="E19" i="9"/>
  <c r="F19" i="9"/>
  <c r="G19" i="9"/>
  <c r="H19" i="9"/>
  <c r="L19" i="9"/>
  <c r="M19" i="9"/>
  <c r="N19" i="9"/>
  <c r="O19" i="9"/>
  <c r="Q19" i="9"/>
  <c r="R19" i="9"/>
  <c r="T19" i="9"/>
  <c r="U19" i="9"/>
  <c r="C20" i="9"/>
  <c r="D20" i="9"/>
  <c r="E20" i="9"/>
  <c r="F20" i="9"/>
  <c r="G20" i="9"/>
  <c r="H20" i="9"/>
  <c r="L20" i="9"/>
  <c r="M20" i="9"/>
  <c r="N20" i="9"/>
  <c r="O20" i="9"/>
  <c r="Q20" i="9"/>
  <c r="R20" i="9"/>
  <c r="T20" i="9"/>
  <c r="U20" i="9"/>
  <c r="C21" i="9"/>
  <c r="D21" i="9"/>
  <c r="E21" i="9"/>
  <c r="F21" i="9"/>
  <c r="G21" i="9"/>
  <c r="H21" i="9"/>
  <c r="L21" i="9"/>
  <c r="N21" i="9"/>
  <c r="O21" i="9"/>
  <c r="Q21" i="9"/>
  <c r="R21" i="9"/>
  <c r="T21" i="9"/>
  <c r="U21" i="9"/>
  <c r="C22" i="9"/>
  <c r="D22" i="9"/>
  <c r="E22" i="9"/>
  <c r="F22" i="9"/>
  <c r="G22" i="9"/>
  <c r="H22" i="9"/>
  <c r="L22" i="9"/>
  <c r="N22" i="9"/>
  <c r="O22" i="9"/>
  <c r="Q22" i="9"/>
  <c r="R22" i="9"/>
  <c r="T22" i="9"/>
  <c r="U22" i="9"/>
  <c r="C23" i="9"/>
  <c r="D23" i="9"/>
  <c r="E23" i="9"/>
  <c r="F23" i="9"/>
  <c r="G23" i="9"/>
  <c r="H23" i="9"/>
  <c r="L23" i="9"/>
  <c r="M23" i="9"/>
  <c r="N23" i="9"/>
  <c r="O23" i="9"/>
  <c r="Q23" i="9"/>
  <c r="R23" i="9"/>
  <c r="T23" i="9"/>
  <c r="U23" i="9"/>
  <c r="C24" i="9"/>
  <c r="D24" i="9"/>
  <c r="E24" i="9"/>
  <c r="F24" i="9"/>
  <c r="G24" i="9"/>
  <c r="H24" i="9"/>
  <c r="L24" i="9"/>
  <c r="M24" i="9"/>
  <c r="N24" i="9"/>
  <c r="O24" i="9"/>
  <c r="Q24" i="9"/>
  <c r="R24" i="9"/>
  <c r="T24" i="9"/>
  <c r="U24" i="9"/>
  <c r="C25" i="9"/>
  <c r="D25" i="9"/>
  <c r="E25" i="9"/>
  <c r="F25" i="9"/>
  <c r="G25" i="9"/>
  <c r="H25" i="9"/>
  <c r="L25" i="9"/>
  <c r="M25" i="9"/>
  <c r="N25" i="9"/>
  <c r="O25" i="9"/>
  <c r="Q25" i="9"/>
  <c r="R25" i="9"/>
  <c r="T25" i="9"/>
  <c r="U25" i="9"/>
  <c r="C26" i="9"/>
  <c r="D26" i="9"/>
  <c r="E26" i="9"/>
  <c r="F26" i="9"/>
  <c r="G26" i="9"/>
  <c r="H26" i="9"/>
  <c r="L26" i="9"/>
  <c r="M26" i="9"/>
  <c r="N26" i="9"/>
  <c r="O26" i="9"/>
  <c r="Q26" i="9"/>
  <c r="R26" i="9"/>
  <c r="T26" i="9"/>
  <c r="U26" i="9"/>
  <c r="I26" i="9" l="1"/>
  <c r="I25" i="9"/>
  <c r="W25" i="9"/>
  <c r="X29" i="10"/>
  <c r="I24" i="9"/>
  <c r="I19" i="9"/>
  <c r="I22" i="9"/>
  <c r="I17" i="9"/>
  <c r="I23" i="9"/>
  <c r="I20" i="9"/>
  <c r="I21" i="9"/>
  <c r="I18" i="9"/>
  <c r="W18" i="9"/>
  <c r="W19" i="9"/>
  <c r="W20" i="9"/>
  <c r="W24" i="9"/>
  <c r="W26" i="9"/>
  <c r="W17" i="9"/>
  <c r="W22" i="9"/>
  <c r="W21" i="9"/>
  <c r="W23" i="9"/>
  <c r="L27" i="9"/>
  <c r="C16" i="9"/>
  <c r="D16" i="9"/>
  <c r="E16" i="9"/>
  <c r="F16" i="9"/>
  <c r="G16" i="9"/>
  <c r="H16" i="9"/>
  <c r="L16" i="9"/>
  <c r="M16" i="9"/>
  <c r="N16" i="9"/>
  <c r="O16" i="9"/>
  <c r="Q16" i="9"/>
  <c r="R16" i="9"/>
  <c r="T16" i="9"/>
  <c r="U16" i="9"/>
  <c r="Q27" i="9"/>
  <c r="U15" i="9"/>
  <c r="T15" i="9"/>
  <c r="R15" i="9"/>
  <c r="Q15" i="9"/>
  <c r="O15" i="9"/>
  <c r="N15" i="9"/>
  <c r="M15" i="9"/>
  <c r="L15" i="9"/>
  <c r="H15" i="9"/>
  <c r="G15" i="9"/>
  <c r="F15" i="9"/>
  <c r="E15" i="9"/>
  <c r="D15" i="9"/>
  <c r="C15" i="9"/>
  <c r="C27" i="9" l="1"/>
  <c r="R27" i="9"/>
  <c r="M27" i="9"/>
  <c r="I15" i="9"/>
  <c r="W16" i="9"/>
  <c r="I16" i="9"/>
  <c r="E27" i="9"/>
  <c r="W15" i="9"/>
  <c r="U27" i="9"/>
  <c r="D27" i="9"/>
  <c r="N27" i="9"/>
  <c r="T27" i="9"/>
  <c r="F27" i="9"/>
  <c r="I27" i="9" s="1"/>
  <c r="O27" i="9"/>
  <c r="O29" i="9" l="1"/>
  <c r="E29" i="9"/>
  <c r="D29" i="9"/>
  <c r="F29" i="9"/>
  <c r="W27" i="9"/>
  <c r="X29" i="9" l="1"/>
  <c r="Y29" i="9"/>
</calcChain>
</file>

<file path=xl/sharedStrings.xml><?xml version="1.0" encoding="utf-8"?>
<sst xmlns="http://schemas.openxmlformats.org/spreadsheetml/2006/main" count="682" uniqueCount="68">
  <si>
    <t>Slot/ETG's</t>
  </si>
  <si>
    <t>Table Games</t>
  </si>
  <si>
    <t>Poker Tables</t>
  </si>
  <si>
    <t>Promotional</t>
  </si>
  <si>
    <t xml:space="preserve"> </t>
  </si>
  <si>
    <t>Avg Daily</t>
  </si>
  <si>
    <t>Credits</t>
  </si>
  <si>
    <t>Slot Gaming</t>
  </si>
  <si>
    <t>Slot &amp; ETG</t>
  </si>
  <si>
    <t>Slots &amp;</t>
  </si>
  <si>
    <t>Win/Unit</t>
  </si>
  <si>
    <t>Table Game</t>
  </si>
  <si>
    <t>Poker Table</t>
  </si>
  <si>
    <t>Month</t>
  </si>
  <si>
    <t>Played</t>
  </si>
  <si>
    <t>Won</t>
  </si>
  <si>
    <t>GGR</t>
  </si>
  <si>
    <t>ETG's</t>
  </si>
  <si>
    <t>per Day</t>
  </si>
  <si>
    <t>Tables</t>
  </si>
  <si>
    <t>Drop</t>
  </si>
  <si>
    <t>Total GGR</t>
  </si>
  <si>
    <t>Total</t>
  </si>
  <si>
    <t>Prior Period</t>
  </si>
  <si>
    <t>Net Revenue</t>
  </si>
  <si>
    <t xml:space="preserve">Unclaimed </t>
  </si>
  <si>
    <t>Adjustments</t>
  </si>
  <si>
    <t>to Operator</t>
  </si>
  <si>
    <t>Gaming Tax</t>
  </si>
  <si>
    <t>Funds</t>
  </si>
  <si>
    <t>Fines &amp; Penalties</t>
  </si>
  <si>
    <t>Notes:</t>
  </si>
  <si>
    <t>Sports
Wagering</t>
  </si>
  <si>
    <t xml:space="preserve">Sports </t>
  </si>
  <si>
    <t>Wagering</t>
  </si>
  <si>
    <t>Handle</t>
  </si>
  <si>
    <t>Total Gross Gaming Revenue (GGR) - Fiscal Year 2023/2024</t>
  </si>
  <si>
    <t>New York State Gaming Commission</t>
  </si>
  <si>
    <t>Statewide Commercial Gaming Results</t>
  </si>
  <si>
    <t>www.gaming.ny.gov</t>
  </si>
  <si>
    <t>(518) 388-3415</t>
  </si>
  <si>
    <t xml:space="preserve">Poker </t>
  </si>
  <si>
    <t xml:space="preserve">Avg </t>
  </si>
  <si>
    <t>Daily</t>
  </si>
  <si>
    <t>4) The minimum number of table games in each facility license is verified by combining the total Average Daily Tables &amp; Average Daily Poker Tables on a weekly basis. Fluctuations may occur.</t>
  </si>
  <si>
    <t>5) Sports wagering gross gaming revenue is reported on a cash basis in New York State. Wagers on future events are taxed as current revenue and payouts for winning wagers are recognized in the period redeemed.</t>
  </si>
  <si>
    <t>2) 	Distributions to municipalities and counties are made by the Gaming Commission on a quarterly basis.</t>
  </si>
  <si>
    <t>Report compiled by the New York State Gaming Commission based on data provided by Rivers Casino and Resort, Tioga Downs Casino, del Lago Resort and Casino, and Resorts World Catskills.</t>
  </si>
  <si>
    <t xml:space="preserve">P.O. Box 7500 </t>
  </si>
  <si>
    <t>Schenectady, NY 12301</t>
  </si>
  <si>
    <t>Statewide Totals</t>
  </si>
  <si>
    <t>1) The gaming tax on Slot/ETG revenue, Table Game and Sports Wagering revenue, prior period adjustments, fines, penalties, and unclaimed funds are allocated 80% to Education/Property Tax Relief, 10% split equally between the host municipality and host county, and 10% split among non-host counties within the region on a per capita basis.</t>
  </si>
  <si>
    <t>Total Gross Gaming Revenue (GGR) - Fiscal Year 2022/2023</t>
  </si>
  <si>
    <t>Total Gross Gaming Revenue (GGR) - Fiscal Year 2021/2022</t>
  </si>
  <si>
    <t>Total Gross Gaming Revenue (GGR) - Fiscal Year 2024/2025</t>
  </si>
  <si>
    <t>Total Gross Gaming Revenue (GGR) - Fiscal Year 2020/2021</t>
  </si>
  <si>
    <t>Total Gross Gaming Revenue (GGR) - Fiscal Year 2019/2020</t>
  </si>
  <si>
    <t>Total Gross Gaming Revenue (GGR) - Fiscal Year 2018/2019</t>
  </si>
  <si>
    <t>Total Gross Gaming Revenue (GGR) - Fiscal Year 2017/2018</t>
  </si>
  <si>
    <t>Total Gross Gaming Revenue (GGR) - Fiscal Year 2016/2017</t>
  </si>
  <si>
    <t>GGR After Tax</t>
  </si>
  <si>
    <t>Report compiled by the New York State Gaming Commission based on data provided by Rivers Casino and Resort, Tioga Downs Casino, and del Lago Resort and Casino.</t>
  </si>
  <si>
    <t>1) The gaming tax on Slot/ETG revenue and Table Game revenue are allocated 80% to Education/Property Tax Relief, 10% split equally between the host municipality and host county, and 10% split among non-host counties within the region on a per capita basis.</t>
  </si>
  <si>
    <t>3) The minimum number of table games in each facility license is verified by combining the total Average Daily Tables &amp; Average Daily Poker Tables on a weekly basis. Fluctuations may occur.</t>
  </si>
  <si>
    <t>1) The gaming tax on Slot/ETG revenue and Table Game revenue, prior period adjustments, fines, and penalties are allocated 80% to Education/Property Tax Relief, 10% split equally between the host municipality and host county, and 10% split among non-host counties within the region on a per capita basis.</t>
  </si>
  <si>
    <t>1) The gaming tax on Slot/ETG revenue and Table Game revenue, prior period adjustments, fines, penalties, and unclaimed funds are allocated 80% to Education/Property Tax Relief, 10% split equally between the host municipality and host county, and 10% split among non-host counties within the region on a per capita basis.</t>
  </si>
  <si>
    <t>Total Gross Gaming Revenue (GGR) - Fiscal Year 2025/2026</t>
  </si>
  <si>
    <t xml:space="preserve">3) Adjustments, Fines, and Penalties are comprised of gaming tax audit adjustments, fines, and penalties due to the Commercial Gaming Revenue Fund pursuant to Racing, Pari-Mutuel Wagering and Breeding Law.  Funds due to OASAS are not included in these figures.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</si>
</sst>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0.00%_);[Red]\(0.00%\)"/>
    <numFmt numFmtId="166" formatCode="&quot;$&quot;#,##0"/>
  </numFmts>
  <fonts count="1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u/>
      <sz val="1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indexed="12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6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6" fontId="6" fillId="0" borderId="4" xfId="0" applyNumberFormat="1" applyFont="1" applyBorder="1" applyAlignment="1">
      <alignment horizontal="center"/>
    </xf>
    <xf numFmtId="6" fontId="6" fillId="0" borderId="0" xfId="0" applyNumberFormat="1" applyFont="1" applyAlignment="1">
      <alignment horizontal="center"/>
    </xf>
    <xf numFmtId="6" fontId="6" fillId="0" borderId="0" xfId="0" applyNumberFormat="1" applyFont="1" applyBorder="1" applyAlignment="1"/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6" fontId="7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38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6" fontId="8" fillId="0" borderId="5" xfId="0" applyNumberFormat="1" applyFont="1" applyBorder="1" applyAlignment="1">
      <alignment horizontal="center"/>
    </xf>
    <xf numFmtId="38" fontId="8" fillId="0" borderId="5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5" fontId="0" fillId="0" borderId="0" xfId="0" applyNumberFormat="1" applyAlignment="1"/>
    <xf numFmtId="38" fontId="0" fillId="0" borderId="0" xfId="0" applyNumberFormat="1" applyAlignment="1"/>
    <xf numFmtId="6" fontId="0" fillId="0" borderId="0" xfId="0" applyNumberFormat="1" applyAlignment="1"/>
    <xf numFmtId="6" fontId="0" fillId="0" borderId="6" xfId="0" applyNumberFormat="1" applyBorder="1" applyAlignment="1"/>
    <xf numFmtId="6" fontId="0" fillId="0" borderId="0" xfId="0" applyNumberFormat="1" applyBorder="1" applyAlignment="1"/>
    <xf numFmtId="38" fontId="0" fillId="0" borderId="0" xfId="0" applyNumberFormat="1" applyBorder="1" applyAlignment="1"/>
    <xf numFmtId="165" fontId="0" fillId="0" borderId="0" xfId="0" applyNumberFormat="1" applyAlignment="1">
      <alignment horizontal="center"/>
    </xf>
    <xf numFmtId="165" fontId="0" fillId="0" borderId="0" xfId="0" applyNumberFormat="1" applyBorder="1" applyAlignment="1"/>
    <xf numFmtId="10" fontId="0" fillId="0" borderId="0" xfId="0" applyNumberFormat="1" applyFill="1" applyBorder="1" applyAlignment="1"/>
    <xf numFmtId="165" fontId="0" fillId="0" borderId="0" xfId="0" applyNumberFormat="1" applyAlignment="1"/>
    <xf numFmtId="165" fontId="8" fillId="0" borderId="0" xfId="0" applyNumberFormat="1" applyFont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 wrapText="1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8" fillId="0" borderId="5" xfId="0" applyFont="1" applyBorder="1" applyAlignment="1">
      <alignment horizontal="center"/>
    </xf>
    <xf numFmtId="0" fontId="11" fillId="0" borderId="0" xfId="0" applyFont="1"/>
    <xf numFmtId="5" fontId="0" fillId="0" borderId="6" xfId="0" applyNumberFormat="1" applyFont="1" applyBorder="1" applyAlignment="1"/>
    <xf numFmtId="5" fontId="0" fillId="0" borderId="0" xfId="0" applyNumberFormat="1"/>
    <xf numFmtId="37" fontId="0" fillId="0" borderId="0" xfId="0" applyNumberFormat="1"/>
    <xf numFmtId="6" fontId="0" fillId="0" borderId="0" xfId="0" applyNumberFormat="1"/>
    <xf numFmtId="38" fontId="0" fillId="0" borderId="0" xfId="0" applyNumberFormat="1"/>
    <xf numFmtId="5" fontId="0" fillId="0" borderId="6" xfId="0" applyNumberFormat="1" applyBorder="1"/>
    <xf numFmtId="38" fontId="0" fillId="0" borderId="6" xfId="0" applyNumberFormat="1" applyBorder="1"/>
    <xf numFmtId="6" fontId="0" fillId="0" borderId="6" xfId="0" applyNumberFormat="1" applyBorder="1"/>
    <xf numFmtId="166" fontId="0" fillId="0" borderId="0" xfId="0" applyNumberFormat="1"/>
    <xf numFmtId="5" fontId="0" fillId="0" borderId="0" xfId="0" applyNumberFormat="1" applyBorder="1" applyAlignment="1"/>
    <xf numFmtId="5" fontId="0" fillId="0" borderId="6" xfId="0" applyNumberFormat="1" applyFill="1" applyBorder="1"/>
    <xf numFmtId="1" fontId="0" fillId="0" borderId="0" xfId="0" applyNumberFormat="1"/>
    <xf numFmtId="37" fontId="14" fillId="0" borderId="0" xfId="0" applyNumberFormat="1" applyFont="1"/>
    <xf numFmtId="5" fontId="14" fillId="0" borderId="0" xfId="0" applyNumberFormat="1" applyFont="1"/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38" fontId="0" fillId="0" borderId="0" xfId="0" applyNumberFormat="1" applyFill="1"/>
    <xf numFmtId="6" fontId="4" fillId="0" borderId="0" xfId="1" applyNumberFormat="1" applyFont="1" applyFill="1" applyAlignment="1" applyProtection="1">
      <alignment horizontal="center"/>
    </xf>
    <xf numFmtId="6" fontId="1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6" fontId="13" fillId="0" borderId="0" xfId="1" applyNumberFormat="1" applyFont="1" applyFill="1" applyAlignment="1" applyProtection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center"/>
    </xf>
    <xf numFmtId="165" fontId="10" fillId="0" borderId="0" xfId="0" applyNumberFormat="1" applyFont="1" applyAlignment="1">
      <alignment horizontal="left" wrapText="1"/>
    </xf>
    <xf numFmtId="165" fontId="10" fillId="0" borderId="0" xfId="0" applyNumberFormat="1" applyFont="1" applyFill="1" applyAlignment="1">
      <alignment horizontal="left" wrapText="1"/>
    </xf>
    <xf numFmtId="6" fontId="6" fillId="0" borderId="1" xfId="0" applyNumberFormat="1" applyFont="1" applyBorder="1" applyAlignment="1">
      <alignment horizontal="center"/>
    </xf>
    <xf numFmtId="6" fontId="6" fillId="0" borderId="2" xfId="0" applyNumberFormat="1" applyFont="1" applyBorder="1" applyAlignment="1">
      <alignment horizontal="center"/>
    </xf>
    <xf numFmtId="6" fontId="6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165" fontId="8" fillId="0" borderId="1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396240</xdr:colOff>
      <xdr:row>3</xdr:row>
      <xdr:rowOff>97155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D4DAC-649A-439D-B69D-F66A098A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5AAE5-B810-4E9B-BDC8-CF4490688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21AFD-1961-4189-AC8C-7DB736E0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ED1AC-F569-44A1-835B-E38F4D3F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A6B1A1E-EF4A-4D35-86FF-6382411CA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A8BD61-D530-4FB9-9825-6F4AF0FA6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A26E0-3741-4A9B-BCA3-F03FC2760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8789F4-AA4D-4079-BAF1-B9F531E86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E7C47-0472-46E9-9E1E-F6333F08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41B770-93C7-4E1E-B043-D1A4DC446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7D09B-5838-4098-9EBD-CF6387AD8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3B8F19-5E0F-4A12-87A9-5A0144774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D6031-27EC-4588-94D9-43F6512C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0EF1FD-ED58-405C-9A73-4F7B0865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1F1E1-93CD-423C-B8A6-49FF47BB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9EDCA0-23A4-4B23-B9EC-4D2B57566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8DFD8-B0A9-4A02-B5F8-11A9DB54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DF114-5AF8-4CDC-8A8E-7574C8CF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142875</xdr:rowOff>
    </xdr:from>
    <xdr:to>
      <xdr:col>3</xdr:col>
      <xdr:colOff>400050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6FBD1-6D13-4F9B-8948-BFAD1F7B9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5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269875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699D7-210A-41E5-81A1-0E8E7BEDD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32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COMMERCIAL%20GAMING\7_Monthly%20Website%20Reports_Commercial\Tioga%20Monthly%20Commercial%20Gaming%20Report.xlsx" TargetMode="External"/><Relationship Id="rId1" Type="http://schemas.openxmlformats.org/officeDocument/2006/relationships/externalLinkPath" Target="Tioga%20Monthly%20Commercial%20Gaming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COMMERCIAL%20GAMING\7_Monthly%20Website%20Reports_Commercial\Rivers%20Monthly%20Commercial%20Gaming%20Report.xlsx" TargetMode="External"/><Relationship Id="rId1" Type="http://schemas.openxmlformats.org/officeDocument/2006/relationships/externalLinkPath" Target="Rivers%20Monthly%20Commercial%20Gaming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UNDS\COMMERCIAL%20GAMING\7_Monthly%20Website%20Reports_Commercial\Resorts%20World%20Catskills%20Casino%20Monthly%20Commercial%20Gaming%20Report.xlsx" TargetMode="External"/><Relationship Id="rId1" Type="http://schemas.openxmlformats.org/officeDocument/2006/relationships/externalLinkPath" Target="Resorts%20World%20Catskills%20Casino%20Monthly%20Commercial%20Gaming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UNDS\COMMERCIAL%20GAMING\7_Monthly%20Website%20Reports_Commercial\del%20Lago%20Monthly%20Commercial%20Gaming%20Report.xlsx" TargetMode="External"/><Relationship Id="rId1" Type="http://schemas.openxmlformats.org/officeDocument/2006/relationships/externalLinkPath" Target="del%20Lago%20Monthly%20Commercial%20Gaming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-26 Tioga Monthly"/>
      <sheetName val="24-25 Tioga Monthly"/>
      <sheetName val="23-24 Tioga Monthly"/>
      <sheetName val="22-23 Tioga Monthly"/>
      <sheetName val="21-22 Tioga Monthly"/>
      <sheetName val="20-21 Tioga Monthly"/>
      <sheetName val="19-20 Tioga Monthly"/>
      <sheetName val="18 -19 Tioga Monthly "/>
      <sheetName val="17-18 Tioga Monthly "/>
      <sheetName val="16-17 Tioga Monthly"/>
    </sheetNames>
    <sheetDataSet>
      <sheetData sheetId="0">
        <row r="14">
          <cell r="C14">
            <v>105477386.78000003</v>
          </cell>
          <cell r="D14">
            <v>1245611.48</v>
          </cell>
          <cell r="E14">
            <v>95631397.290000007</v>
          </cell>
          <cell r="F14">
            <v>8600378.0099999979</v>
          </cell>
          <cell r="H14">
            <v>895</v>
          </cell>
          <cell r="L14">
            <v>29</v>
          </cell>
          <cell r="M14">
            <v>5403821</v>
          </cell>
          <cell r="N14">
            <v>243120</v>
          </cell>
          <cell r="O14">
            <v>1242979.3500000001</v>
          </cell>
          <cell r="Q14">
            <v>6</v>
          </cell>
          <cell r="R14">
            <v>39625</v>
          </cell>
          <cell r="T14">
            <v>299787.75</v>
          </cell>
          <cell r="U14">
            <v>5699.25</v>
          </cell>
          <cell r="W14">
            <v>9888681.6099999975</v>
          </cell>
        </row>
        <row r="15">
          <cell r="C15">
            <v>109451324.38000001</v>
          </cell>
          <cell r="D15">
            <v>1358419.48</v>
          </cell>
          <cell r="E15">
            <v>99488478.25</v>
          </cell>
          <cell r="F15">
            <v>8604426.6499999985</v>
          </cell>
          <cell r="H15">
            <v>895</v>
          </cell>
          <cell r="L15">
            <v>29</v>
          </cell>
          <cell r="M15">
            <v>5892213</v>
          </cell>
          <cell r="N15">
            <v>267300</v>
          </cell>
          <cell r="O15">
            <v>1091440.3999999999</v>
          </cell>
          <cell r="Q15">
            <v>6</v>
          </cell>
          <cell r="R15">
            <v>42861</v>
          </cell>
          <cell r="T15">
            <v>307722.25</v>
          </cell>
          <cell r="U15">
            <v>50815.5</v>
          </cell>
          <cell r="W15">
            <v>9789543.5499999989</v>
          </cell>
        </row>
        <row r="16">
          <cell r="C16">
            <v>100252819.41000003</v>
          </cell>
          <cell r="D16">
            <v>1297270.72</v>
          </cell>
          <cell r="E16">
            <v>91009157.900000006</v>
          </cell>
          <cell r="F16">
            <v>7946390.7899999963</v>
          </cell>
          <cell r="H16">
            <v>894.9666666666667</v>
          </cell>
          <cell r="L16">
            <v>29</v>
          </cell>
          <cell r="M16">
            <v>5584631</v>
          </cell>
          <cell r="N16">
            <v>241970</v>
          </cell>
          <cell r="O16">
            <v>943320</v>
          </cell>
          <cell r="Q16">
            <v>6</v>
          </cell>
          <cell r="R16">
            <v>38801</v>
          </cell>
          <cell r="T16">
            <v>339292.75</v>
          </cell>
          <cell r="U16">
            <v>161862.75</v>
          </cell>
          <cell r="W16">
            <v>9090374.5399999954</v>
          </cell>
        </row>
        <row r="17">
          <cell r="C17">
            <v>106671865.06</v>
          </cell>
          <cell r="D17">
            <v>1322180.97</v>
          </cell>
          <cell r="E17">
            <v>96921896.599999994</v>
          </cell>
          <cell r="F17">
            <v>8427787.4900000002</v>
          </cell>
          <cell r="H17">
            <v>895</v>
          </cell>
          <cell r="L17">
            <v>29</v>
          </cell>
          <cell r="M17">
            <v>5812694</v>
          </cell>
          <cell r="N17">
            <v>260955</v>
          </cell>
          <cell r="O17">
            <v>683649.25</v>
          </cell>
          <cell r="Q17">
            <v>6</v>
          </cell>
          <cell r="R17">
            <v>42051</v>
          </cell>
          <cell r="T17">
            <v>150745.25</v>
          </cell>
          <cell r="U17">
            <v>32262.25</v>
          </cell>
          <cell r="W17">
            <v>9185749.9900000002</v>
          </cell>
        </row>
        <row r="18">
          <cell r="C18">
            <v>108342890.95999998</v>
          </cell>
          <cell r="D18">
            <v>1391580.27</v>
          </cell>
          <cell r="E18">
            <v>98045651.870000005</v>
          </cell>
          <cell r="F18">
            <v>8905658.8200000003</v>
          </cell>
          <cell r="H18">
            <v>895</v>
          </cell>
          <cell r="L18">
            <v>29</v>
          </cell>
          <cell r="M18">
            <v>6367429</v>
          </cell>
          <cell r="N18">
            <v>238045</v>
          </cell>
          <cell r="O18">
            <v>1041773.25</v>
          </cell>
          <cell r="Q18">
            <v>6</v>
          </cell>
          <cell r="R18">
            <v>40720</v>
          </cell>
          <cell r="T18">
            <v>246054.25</v>
          </cell>
          <cell r="U18">
            <v>70154.5</v>
          </cell>
          <cell r="W18">
            <v>10058306.57</v>
          </cell>
        </row>
        <row r="19">
          <cell r="C19">
            <v>100777376.58000003</v>
          </cell>
          <cell r="D19">
            <v>1272563.78</v>
          </cell>
          <cell r="E19">
            <v>91315799.849999994</v>
          </cell>
          <cell r="F19">
            <v>8189012.9499999993</v>
          </cell>
          <cell r="H19">
            <v>895</v>
          </cell>
          <cell r="L19">
            <v>29</v>
          </cell>
          <cell r="M19">
            <v>5749352</v>
          </cell>
          <cell r="N19">
            <v>226730</v>
          </cell>
          <cell r="O19">
            <v>1011590</v>
          </cell>
          <cell r="Q19">
            <v>6</v>
          </cell>
          <cell r="R19">
            <v>34418</v>
          </cell>
          <cell r="T19">
            <v>576380</v>
          </cell>
          <cell r="U19">
            <v>175852</v>
          </cell>
          <cell r="W19">
            <v>9410872.9499999993</v>
          </cell>
        </row>
        <row r="20">
          <cell r="C20">
            <v>104456473.73</v>
          </cell>
          <cell r="D20">
            <v>1290221.5</v>
          </cell>
          <cell r="E20">
            <v>94739071.620000005</v>
          </cell>
          <cell r="F20">
            <v>8427180.6100000013</v>
          </cell>
          <cell r="H20">
            <v>894.48387096774195</v>
          </cell>
          <cell r="L20">
            <v>29</v>
          </cell>
          <cell r="M20">
            <v>5631712</v>
          </cell>
          <cell r="N20">
            <v>245730</v>
          </cell>
          <cell r="O20">
            <v>1129213.5</v>
          </cell>
          <cell r="Q20">
            <v>6</v>
          </cell>
          <cell r="R20">
            <v>49097</v>
          </cell>
          <cell r="T20">
            <v>374572.75</v>
          </cell>
          <cell r="U20">
            <v>39149.25</v>
          </cell>
          <cell r="W20">
            <v>9644640.3600000013</v>
          </cell>
        </row>
        <row r="21">
          <cell r="C21">
            <v>99248765.850000009</v>
          </cell>
          <cell r="D21">
            <v>1255105.6200000001</v>
          </cell>
          <cell r="E21">
            <v>89724222.780000001</v>
          </cell>
          <cell r="F21">
            <v>8269437.4500000002</v>
          </cell>
          <cell r="H21">
            <v>894</v>
          </cell>
          <cell r="L21">
            <v>29</v>
          </cell>
          <cell r="M21">
            <v>5347141</v>
          </cell>
          <cell r="N21">
            <v>176485</v>
          </cell>
          <cell r="O21">
            <v>1002166.75</v>
          </cell>
          <cell r="Q21">
            <v>6</v>
          </cell>
          <cell r="R21">
            <v>51086</v>
          </cell>
          <cell r="T21">
            <v>401695.75</v>
          </cell>
          <cell r="U21">
            <v>55269.5</v>
          </cell>
          <cell r="W21">
            <v>9377959.6999999993</v>
          </cell>
        </row>
        <row r="22">
          <cell r="C22">
            <v>90049349.460000008</v>
          </cell>
          <cell r="D22">
            <v>1109983.55</v>
          </cell>
          <cell r="E22">
            <v>81874587.969999999</v>
          </cell>
          <cell r="F22">
            <v>7064777.9400000004</v>
          </cell>
          <cell r="H22">
            <v>894</v>
          </cell>
          <cell r="L22">
            <v>29</v>
          </cell>
          <cell r="M22">
            <v>5441108</v>
          </cell>
          <cell r="N22">
            <v>180570</v>
          </cell>
          <cell r="O22">
            <v>946241.05</v>
          </cell>
          <cell r="Q22">
            <v>6</v>
          </cell>
          <cell r="R22">
            <v>38674</v>
          </cell>
          <cell r="T22">
            <v>282429</v>
          </cell>
          <cell r="U22">
            <v>65207.19</v>
          </cell>
          <cell r="W22">
            <v>8114900.1800000006</v>
          </cell>
        </row>
        <row r="23">
          <cell r="C23">
            <v>100110708.69999997</v>
          </cell>
          <cell r="D23">
            <v>1189405.3799999999</v>
          </cell>
          <cell r="E23">
            <v>90849301.379999995</v>
          </cell>
          <cell r="F23">
            <v>8072001.9400000023</v>
          </cell>
          <cell r="H23">
            <v>894</v>
          </cell>
          <cell r="L23">
            <v>29</v>
          </cell>
          <cell r="M23">
            <v>6096035</v>
          </cell>
          <cell r="N23">
            <v>202440</v>
          </cell>
          <cell r="O23">
            <v>944475.55</v>
          </cell>
          <cell r="Q23">
            <v>6</v>
          </cell>
          <cell r="R23">
            <v>52061</v>
          </cell>
          <cell r="T23">
            <v>290415.75</v>
          </cell>
          <cell r="U23">
            <v>37560.75</v>
          </cell>
          <cell r="W23">
            <v>9106099.2400000021</v>
          </cell>
        </row>
        <row r="24">
          <cell r="C24"/>
          <cell r="D24"/>
          <cell r="E24"/>
          <cell r="F24"/>
          <cell r="H24"/>
          <cell r="L24"/>
          <cell r="M24"/>
          <cell r="N24"/>
          <cell r="O24"/>
          <cell r="Q24"/>
          <cell r="R24"/>
          <cell r="T24"/>
          <cell r="U24"/>
          <cell r="W24">
            <v>0</v>
          </cell>
        </row>
        <row r="25">
          <cell r="C25"/>
          <cell r="D25"/>
          <cell r="E25"/>
          <cell r="F25"/>
          <cell r="H25"/>
          <cell r="L25"/>
          <cell r="M25"/>
          <cell r="N25"/>
          <cell r="O25"/>
          <cell r="Q25"/>
          <cell r="R25"/>
          <cell r="T25"/>
          <cell r="U25"/>
          <cell r="W25">
            <v>0</v>
          </cell>
        </row>
        <row r="26">
          <cell r="H26">
            <v>894.63934429999995</v>
          </cell>
          <cell r="L26">
            <v>29</v>
          </cell>
          <cell r="Q26">
            <v>6</v>
          </cell>
        </row>
        <row r="36">
          <cell r="C36">
            <v>7179737.8469999982</v>
          </cell>
          <cell r="D36">
            <v>2708943.7629999993</v>
          </cell>
          <cell r="E36">
            <v>15534.77</v>
          </cell>
          <cell r="F36">
            <v>11425.17</v>
          </cell>
        </row>
        <row r="37">
          <cell r="C37">
            <v>7089703.8649999984</v>
          </cell>
          <cell r="D37">
            <v>2699839.6849999996</v>
          </cell>
          <cell r="E37">
            <v>10059.77</v>
          </cell>
          <cell r="F37">
            <v>0</v>
          </cell>
        </row>
        <row r="38">
          <cell r="C38">
            <v>6592058.9279999975</v>
          </cell>
          <cell r="D38">
            <v>2498315.6119999988</v>
          </cell>
          <cell r="E38">
            <v>6026.5300000000007</v>
          </cell>
          <cell r="F38">
            <v>408781.06</v>
          </cell>
        </row>
        <row r="39">
          <cell r="C39">
            <v>6581617.4929999998</v>
          </cell>
          <cell r="D39">
            <v>2604132.497</v>
          </cell>
          <cell r="E39">
            <v>9351.99</v>
          </cell>
          <cell r="F39">
            <v>0</v>
          </cell>
        </row>
        <row r="40">
          <cell r="C40">
            <v>7271344.1489999993</v>
          </cell>
          <cell r="D40">
            <v>2786962.4210000001</v>
          </cell>
          <cell r="E40">
            <v>7347.2</v>
          </cell>
          <cell r="F40">
            <v>0</v>
          </cell>
        </row>
        <row r="41">
          <cell r="C41">
            <v>6831983.0649999995</v>
          </cell>
          <cell r="D41">
            <v>2578889.8849999998</v>
          </cell>
          <cell r="E41">
            <v>8963.1</v>
          </cell>
          <cell r="F41">
            <v>0</v>
          </cell>
        </row>
        <row r="42">
          <cell r="C42">
            <v>6994740.2020000005</v>
          </cell>
          <cell r="D42">
            <v>2649900.1580000003</v>
          </cell>
          <cell r="E42">
            <v>8415.7599999999984</v>
          </cell>
          <cell r="F42">
            <v>30000</v>
          </cell>
        </row>
        <row r="43">
          <cell r="C43">
            <v>6786276.2400000002</v>
          </cell>
          <cell r="D43">
            <v>2591683.46</v>
          </cell>
          <cell r="E43">
            <v>14101.41</v>
          </cell>
          <cell r="F43">
            <v>0</v>
          </cell>
        </row>
        <row r="44">
          <cell r="C44">
            <v>5890454.574</v>
          </cell>
          <cell r="D44">
            <v>2224445.6060000001</v>
          </cell>
          <cell r="E44">
            <v>11422.97</v>
          </cell>
          <cell r="F44">
            <v>0</v>
          </cell>
        </row>
        <row r="45">
          <cell r="C45">
            <v>6581088.9280000012</v>
          </cell>
          <cell r="D45">
            <v>2525010.3120000004</v>
          </cell>
          <cell r="E45">
            <v>7865.6</v>
          </cell>
          <cell r="F45">
            <v>24493.37</v>
          </cell>
        </row>
      </sheetData>
      <sheetData sheetId="1">
        <row r="14">
          <cell r="C14">
            <v>108050050.33000001</v>
          </cell>
          <cell r="D14">
            <v>1331695.96</v>
          </cell>
          <cell r="E14">
            <v>98688843.670000002</v>
          </cell>
          <cell r="F14">
            <v>8029510.7000000011</v>
          </cell>
          <cell r="H14">
            <v>893</v>
          </cell>
          <cell r="L14">
            <v>29</v>
          </cell>
          <cell r="M14">
            <v>5667539</v>
          </cell>
          <cell r="N14">
            <v>159670</v>
          </cell>
          <cell r="O14">
            <v>1098466.5</v>
          </cell>
          <cell r="Q14">
            <v>6</v>
          </cell>
          <cell r="R14">
            <v>49208</v>
          </cell>
          <cell r="T14">
            <v>741171.75</v>
          </cell>
          <cell r="U14">
            <v>128075</v>
          </cell>
          <cell r="W14">
            <v>9305260.2000000011</v>
          </cell>
        </row>
        <row r="15">
          <cell r="C15">
            <v>108123208.13000001</v>
          </cell>
          <cell r="D15">
            <v>1375567.68</v>
          </cell>
          <cell r="E15">
            <v>98445023.269999996</v>
          </cell>
          <cell r="F15">
            <v>8302617.1800000034</v>
          </cell>
          <cell r="H15">
            <v>893</v>
          </cell>
          <cell r="L15">
            <v>29</v>
          </cell>
          <cell r="M15">
            <v>5118769</v>
          </cell>
          <cell r="N15">
            <v>215945</v>
          </cell>
          <cell r="O15">
            <v>984219.25</v>
          </cell>
          <cell r="Q15">
            <v>6</v>
          </cell>
          <cell r="R15">
            <v>44771</v>
          </cell>
          <cell r="T15">
            <v>375621.25</v>
          </cell>
          <cell r="U15">
            <v>50292.25</v>
          </cell>
          <cell r="W15">
            <v>9381899.6800000034</v>
          </cell>
        </row>
        <row r="16">
          <cell r="C16">
            <v>106515811.97</v>
          </cell>
          <cell r="D16">
            <v>1401170.38</v>
          </cell>
          <cell r="E16">
            <v>97000157.870000005</v>
          </cell>
          <cell r="F16">
            <v>8114483.7200000007</v>
          </cell>
          <cell r="H16">
            <v>893</v>
          </cell>
          <cell r="L16">
            <v>29</v>
          </cell>
          <cell r="M16">
            <v>5620693</v>
          </cell>
          <cell r="N16">
            <v>239405</v>
          </cell>
          <cell r="O16">
            <v>795394.1</v>
          </cell>
          <cell r="Q16">
            <v>6</v>
          </cell>
          <cell r="R16">
            <v>37775</v>
          </cell>
          <cell r="T16">
            <v>316912.75</v>
          </cell>
          <cell r="U16">
            <v>17791</v>
          </cell>
          <cell r="W16">
            <v>8965443.8200000003</v>
          </cell>
        </row>
        <row r="17">
          <cell r="C17">
            <v>104165539.80999999</v>
          </cell>
          <cell r="D17">
            <v>1323340.26</v>
          </cell>
          <cell r="E17">
            <v>94998968.159999996</v>
          </cell>
          <cell r="F17">
            <v>7843231.3899999997</v>
          </cell>
          <cell r="H17">
            <v>893</v>
          </cell>
          <cell r="L17">
            <v>29</v>
          </cell>
          <cell r="M17">
            <v>5693516</v>
          </cell>
          <cell r="N17">
            <v>228010</v>
          </cell>
          <cell r="O17">
            <v>976889.5</v>
          </cell>
          <cell r="Q17">
            <v>6</v>
          </cell>
          <cell r="R17">
            <v>42881</v>
          </cell>
          <cell r="T17">
            <v>347744.25</v>
          </cell>
          <cell r="U17">
            <v>77151.5</v>
          </cell>
          <cell r="W17">
            <v>8940153.3900000006</v>
          </cell>
        </row>
        <row r="18">
          <cell r="C18">
            <v>106896252.06</v>
          </cell>
          <cell r="D18">
            <v>1398249.44</v>
          </cell>
          <cell r="E18">
            <v>97324315.719999999</v>
          </cell>
          <cell r="F18">
            <v>8173686.8999999985</v>
          </cell>
          <cell r="H18">
            <v>893</v>
          </cell>
          <cell r="L18">
            <v>29</v>
          </cell>
          <cell r="M18">
            <v>5912304</v>
          </cell>
          <cell r="N18">
            <v>235840</v>
          </cell>
          <cell r="O18">
            <v>1233624.75</v>
          </cell>
          <cell r="Q18">
            <v>6</v>
          </cell>
          <cell r="R18">
            <v>43652</v>
          </cell>
          <cell r="T18">
            <v>291741.75</v>
          </cell>
          <cell r="U18">
            <v>104538.75</v>
          </cell>
          <cell r="W18">
            <v>9555502.3999999985</v>
          </cell>
        </row>
        <row r="19">
          <cell r="C19">
            <v>99340930.74000001</v>
          </cell>
          <cell r="D19">
            <v>1311323.82</v>
          </cell>
          <cell r="E19">
            <v>90243010.319999993</v>
          </cell>
          <cell r="F19">
            <v>7786596.5999999996</v>
          </cell>
          <cell r="H19">
            <v>893</v>
          </cell>
          <cell r="L19">
            <v>29</v>
          </cell>
          <cell r="M19">
            <v>5380423</v>
          </cell>
          <cell r="N19">
            <v>219505</v>
          </cell>
          <cell r="O19">
            <v>1062050.5</v>
          </cell>
          <cell r="Q19">
            <v>6</v>
          </cell>
          <cell r="R19">
            <v>36408</v>
          </cell>
          <cell r="T19">
            <v>589906.25</v>
          </cell>
          <cell r="U19">
            <v>168305.25</v>
          </cell>
          <cell r="W19">
            <v>9053360.3499999996</v>
          </cell>
        </row>
        <row r="20">
          <cell r="C20">
            <v>100097143.25000001</v>
          </cell>
          <cell r="D20">
            <v>1293806.8700000001</v>
          </cell>
          <cell r="E20">
            <v>90713988.239999995</v>
          </cell>
          <cell r="F20">
            <v>8089348.1400000015</v>
          </cell>
          <cell r="H20">
            <v>893</v>
          </cell>
          <cell r="L20">
            <v>29</v>
          </cell>
          <cell r="M20">
            <v>5658316</v>
          </cell>
          <cell r="N20">
            <v>225645</v>
          </cell>
          <cell r="O20">
            <v>877461.3</v>
          </cell>
          <cell r="Q20">
            <v>6</v>
          </cell>
          <cell r="R20">
            <v>37490</v>
          </cell>
          <cell r="T20">
            <v>583629.5</v>
          </cell>
          <cell r="U20">
            <v>47816.04</v>
          </cell>
          <cell r="W20">
            <v>9052115.4800000004</v>
          </cell>
        </row>
        <row r="21">
          <cell r="C21">
            <v>97668180.299999982</v>
          </cell>
          <cell r="D21">
            <v>1255048.29</v>
          </cell>
          <cell r="E21">
            <v>88258965.069999993</v>
          </cell>
          <cell r="F21">
            <v>8154166.9399999995</v>
          </cell>
          <cell r="H21">
            <v>893</v>
          </cell>
          <cell r="L21">
            <v>29</v>
          </cell>
          <cell r="M21">
            <v>5533992</v>
          </cell>
          <cell r="N21">
            <v>207105</v>
          </cell>
          <cell r="O21">
            <v>1149797.25</v>
          </cell>
          <cell r="Q21">
            <v>6</v>
          </cell>
          <cell r="R21">
            <v>50596</v>
          </cell>
          <cell r="T21">
            <v>510558.75</v>
          </cell>
          <cell r="U21">
            <v>50683.5</v>
          </cell>
          <cell r="W21">
            <v>9405243.6899999995</v>
          </cell>
        </row>
        <row r="22">
          <cell r="C22">
            <v>93988002.49000001</v>
          </cell>
          <cell r="D22">
            <v>1145769.1100000001</v>
          </cell>
          <cell r="E22">
            <v>85162677.840000004</v>
          </cell>
          <cell r="F22">
            <v>7679555.5400000019</v>
          </cell>
          <cell r="H22">
            <v>893.86666666666667</v>
          </cell>
          <cell r="L22">
            <v>29</v>
          </cell>
          <cell r="M22">
            <v>5683720</v>
          </cell>
          <cell r="N22">
            <v>213400</v>
          </cell>
          <cell r="O22">
            <v>913696.75</v>
          </cell>
          <cell r="Q22">
            <v>6</v>
          </cell>
          <cell r="R22">
            <v>44190</v>
          </cell>
          <cell r="T22">
            <v>515825</v>
          </cell>
          <cell r="U22">
            <v>-19197</v>
          </cell>
          <cell r="W22">
            <v>8618245.2900000028</v>
          </cell>
        </row>
        <row r="23">
          <cell r="C23">
            <v>94819320.280000016</v>
          </cell>
          <cell r="D23">
            <v>1136303.3600000001</v>
          </cell>
          <cell r="E23">
            <v>86053134.409999996</v>
          </cell>
          <cell r="F23">
            <v>7629882.5100000007</v>
          </cell>
          <cell r="H23">
            <v>895</v>
          </cell>
          <cell r="L23">
            <v>29</v>
          </cell>
          <cell r="M23">
            <v>6177114</v>
          </cell>
          <cell r="N23">
            <v>255745</v>
          </cell>
          <cell r="O23">
            <v>1111447.5</v>
          </cell>
          <cell r="Q23">
            <v>6</v>
          </cell>
          <cell r="R23">
            <v>45230</v>
          </cell>
          <cell r="T23">
            <v>675287.25</v>
          </cell>
          <cell r="U23">
            <v>285421.75</v>
          </cell>
          <cell r="W23">
            <v>9071981.7600000016</v>
          </cell>
        </row>
        <row r="24">
          <cell r="C24">
            <v>93267028.329999998</v>
          </cell>
          <cell r="D24">
            <v>1065446.69</v>
          </cell>
          <cell r="E24">
            <v>84693291.049999997</v>
          </cell>
          <cell r="F24">
            <v>7508290.5900000008</v>
          </cell>
          <cell r="H24">
            <v>895</v>
          </cell>
          <cell r="L24">
            <v>29</v>
          </cell>
          <cell r="M24">
            <v>5933332</v>
          </cell>
          <cell r="N24">
            <v>226645</v>
          </cell>
          <cell r="O24">
            <v>1048069.85</v>
          </cell>
          <cell r="Q24">
            <v>6</v>
          </cell>
          <cell r="R24">
            <v>41639</v>
          </cell>
          <cell r="T24">
            <v>328950</v>
          </cell>
          <cell r="U24">
            <v>35169</v>
          </cell>
          <cell r="W24">
            <v>8633168.4400000013</v>
          </cell>
        </row>
        <row r="25">
          <cell r="C25">
            <v>115520135.39000002</v>
          </cell>
          <cell r="D25">
            <v>1346664.17</v>
          </cell>
          <cell r="E25">
            <v>105097395.19</v>
          </cell>
          <cell r="F25">
            <v>9076076.0299999993</v>
          </cell>
          <cell r="H25">
            <v>895</v>
          </cell>
          <cell r="L25">
            <v>29</v>
          </cell>
          <cell r="M25">
            <v>6209231</v>
          </cell>
          <cell r="N25">
            <v>246625</v>
          </cell>
          <cell r="O25">
            <v>1320036.5</v>
          </cell>
          <cell r="Q25">
            <v>6</v>
          </cell>
          <cell r="R25">
            <v>45500</v>
          </cell>
          <cell r="T25">
            <v>425960.75</v>
          </cell>
          <cell r="U25">
            <v>-13793.75</v>
          </cell>
          <cell r="W25">
            <v>10427818.779999999</v>
          </cell>
        </row>
        <row r="26">
          <cell r="H26">
            <v>893.56593410000005</v>
          </cell>
          <cell r="L26">
            <v>29</v>
          </cell>
          <cell r="Q26">
            <v>6</v>
          </cell>
        </row>
        <row r="36">
          <cell r="C36">
            <v>6768832.04</v>
          </cell>
          <cell r="D36">
            <v>2536428.1600000006</v>
          </cell>
          <cell r="E36">
            <v>12278.82</v>
          </cell>
          <cell r="F36">
            <v>0</v>
          </cell>
        </row>
        <row r="37">
          <cell r="C37">
            <v>6783186.2760000024</v>
          </cell>
          <cell r="D37">
            <v>2598713.404000001</v>
          </cell>
          <cell r="E37">
            <v>10083.34</v>
          </cell>
          <cell r="F37">
            <v>-111.9</v>
          </cell>
        </row>
        <row r="38">
          <cell r="C38">
            <v>6446002.6940000001</v>
          </cell>
          <cell r="D38">
            <v>2519441.1260000002</v>
          </cell>
          <cell r="E38">
            <v>5761.17</v>
          </cell>
          <cell r="F38">
            <v>0</v>
          </cell>
        </row>
        <row r="39">
          <cell r="C39">
            <v>6477491.7729999991</v>
          </cell>
          <cell r="D39">
            <v>2462661.6170000001</v>
          </cell>
          <cell r="E39">
            <v>7239.37</v>
          </cell>
          <cell r="F39">
            <v>578</v>
          </cell>
        </row>
        <row r="40">
          <cell r="C40">
            <v>6965214.7799999984</v>
          </cell>
          <cell r="D40">
            <v>2590287.6199999992</v>
          </cell>
          <cell r="E40">
            <v>5977.2199999999993</v>
          </cell>
          <cell r="F40">
            <v>0</v>
          </cell>
        </row>
        <row r="41">
          <cell r="C41">
            <v>6590704.9949999992</v>
          </cell>
          <cell r="D41">
            <v>2462655.355</v>
          </cell>
          <cell r="E41">
            <v>6198.26</v>
          </cell>
          <cell r="F41">
            <v>-3245.88</v>
          </cell>
        </row>
        <row r="42">
          <cell r="C42">
            <v>6529034.3040000014</v>
          </cell>
          <cell r="D42">
            <v>2523081.1760000004</v>
          </cell>
          <cell r="E42">
            <v>8369.32</v>
          </cell>
          <cell r="F42">
            <v>0</v>
          </cell>
        </row>
        <row r="43">
          <cell r="C43">
            <v>6833885.9329999993</v>
          </cell>
          <cell r="D43">
            <v>2571357.7569999998</v>
          </cell>
          <cell r="E43">
            <v>6342.98</v>
          </cell>
          <cell r="F43">
            <v>9112.9</v>
          </cell>
        </row>
        <row r="44">
          <cell r="C44">
            <v>6220509.6530000018</v>
          </cell>
          <cell r="D44">
            <v>2397735.6370000006</v>
          </cell>
          <cell r="E44">
            <v>62583.97</v>
          </cell>
          <cell r="F44">
            <v>0</v>
          </cell>
        </row>
        <row r="45">
          <cell r="C45">
            <v>6638807.0820000004</v>
          </cell>
          <cell r="D45">
            <v>2433174.6779999998</v>
          </cell>
          <cell r="E45">
            <v>13769.73</v>
          </cell>
          <cell r="F45">
            <v>-229.59</v>
          </cell>
        </row>
        <row r="46">
          <cell r="C46">
            <v>6268193.4780000011</v>
          </cell>
          <cell r="D46">
            <v>2364974.9620000003</v>
          </cell>
          <cell r="E46">
            <v>11874.84</v>
          </cell>
          <cell r="F46">
            <v>0</v>
          </cell>
        </row>
        <row r="47">
          <cell r="C47">
            <v>7569821.6959999986</v>
          </cell>
          <cell r="D47">
            <v>2857997.0839999998</v>
          </cell>
          <cell r="E47">
            <v>9336.98</v>
          </cell>
          <cell r="F47">
            <v>399264.95</v>
          </cell>
        </row>
      </sheetData>
      <sheetData sheetId="2">
        <row r="14">
          <cell r="C14">
            <v>111637583.66</v>
          </cell>
          <cell r="D14">
            <v>1395244.77</v>
          </cell>
          <cell r="E14">
            <v>102115379.03</v>
          </cell>
          <cell r="F14">
            <v>8126959.8600000003</v>
          </cell>
          <cell r="G14"/>
          <cell r="H14">
            <v>893</v>
          </cell>
          <cell r="L14">
            <v>29</v>
          </cell>
          <cell r="M14">
            <v>5305275</v>
          </cell>
          <cell r="N14">
            <v>153905</v>
          </cell>
          <cell r="O14">
            <v>1133122.6499999999</v>
          </cell>
          <cell r="Q14">
            <v>6</v>
          </cell>
          <cell r="R14">
            <v>48854</v>
          </cell>
          <cell r="T14">
            <v>380209</v>
          </cell>
          <cell r="U14">
            <v>-7972.75</v>
          </cell>
        </row>
        <row r="15">
          <cell r="C15">
            <v>103126288.15999998</v>
          </cell>
          <cell r="D15">
            <v>1267978.3500000001</v>
          </cell>
          <cell r="E15">
            <v>94251002.400000006</v>
          </cell>
          <cell r="F15">
            <v>7607307.4099999936</v>
          </cell>
          <cell r="G15"/>
          <cell r="H15">
            <v>893</v>
          </cell>
          <cell r="L15">
            <v>29</v>
          </cell>
          <cell r="M15">
            <v>4909975</v>
          </cell>
          <cell r="N15">
            <v>144295</v>
          </cell>
          <cell r="O15">
            <v>1021594.11</v>
          </cell>
          <cell r="Q15">
            <v>6</v>
          </cell>
          <cell r="R15">
            <v>40073</v>
          </cell>
          <cell r="T15">
            <v>469424.35</v>
          </cell>
          <cell r="U15">
            <v>14357.599999999999</v>
          </cell>
        </row>
        <row r="16">
          <cell r="C16">
            <v>104943830.23</v>
          </cell>
          <cell r="D16">
            <v>1304389.9099999999</v>
          </cell>
          <cell r="E16">
            <v>95859609.120000005</v>
          </cell>
          <cell r="F16">
            <v>7779831.1999999974</v>
          </cell>
          <cell r="G16"/>
          <cell r="H16">
            <v>893</v>
          </cell>
          <cell r="L16">
            <v>29</v>
          </cell>
          <cell r="M16">
            <v>5276905</v>
          </cell>
          <cell r="N16">
            <v>147095</v>
          </cell>
          <cell r="O16">
            <v>1064411.4099999999</v>
          </cell>
          <cell r="Q16">
            <v>6</v>
          </cell>
          <cell r="R16">
            <v>40327</v>
          </cell>
          <cell r="T16">
            <v>402224</v>
          </cell>
          <cell r="U16">
            <v>5942.75</v>
          </cell>
        </row>
        <row r="17">
          <cell r="C17">
            <v>112933836.93000001</v>
          </cell>
          <cell r="D17">
            <v>1423720.82</v>
          </cell>
          <cell r="E17">
            <v>103204656.03</v>
          </cell>
          <cell r="F17">
            <v>8305460.0800000001</v>
          </cell>
          <cell r="G17"/>
          <cell r="H17">
            <v>893</v>
          </cell>
          <cell r="L17">
            <v>29</v>
          </cell>
          <cell r="M17">
            <v>5690007</v>
          </cell>
          <cell r="N17">
            <v>154385</v>
          </cell>
          <cell r="O17">
            <v>1324880.46</v>
          </cell>
          <cell r="Q17">
            <v>6</v>
          </cell>
          <cell r="R17">
            <v>46924</v>
          </cell>
          <cell r="T17">
            <v>445723.5</v>
          </cell>
          <cell r="U17">
            <v>-113751.97</v>
          </cell>
        </row>
        <row r="18">
          <cell r="C18">
            <v>106883242.83000001</v>
          </cell>
          <cell r="D18">
            <v>1309772.04</v>
          </cell>
          <cell r="E18">
            <v>97836665.599999994</v>
          </cell>
          <cell r="F18">
            <v>7736805.1900000023</v>
          </cell>
          <cell r="G18"/>
          <cell r="H18">
            <v>893</v>
          </cell>
          <cell r="L18">
            <v>29</v>
          </cell>
          <cell r="M18">
            <v>5115113</v>
          </cell>
          <cell r="N18">
            <v>141965</v>
          </cell>
          <cell r="O18">
            <v>837167.59</v>
          </cell>
          <cell r="Q18">
            <v>6</v>
          </cell>
          <cell r="R18">
            <v>41725</v>
          </cell>
          <cell r="T18">
            <v>557066</v>
          </cell>
          <cell r="U18">
            <v>121328.25</v>
          </cell>
        </row>
        <row r="19">
          <cell r="C19">
            <v>105160426.22999999</v>
          </cell>
          <cell r="D19">
            <v>1313432.8700000001</v>
          </cell>
          <cell r="E19">
            <v>95891553.560000002</v>
          </cell>
          <cell r="F19">
            <v>7955439.799999997</v>
          </cell>
          <cell r="G19"/>
          <cell r="H19">
            <v>893</v>
          </cell>
          <cell r="L19">
            <v>29</v>
          </cell>
          <cell r="M19">
            <v>5315576</v>
          </cell>
          <cell r="N19">
            <v>146300</v>
          </cell>
          <cell r="O19">
            <v>1051893.4100000001</v>
          </cell>
          <cell r="Q19">
            <v>6</v>
          </cell>
          <cell r="R19">
            <v>41540</v>
          </cell>
          <cell r="T19">
            <v>761952.75</v>
          </cell>
          <cell r="U19">
            <v>145544.75</v>
          </cell>
        </row>
        <row r="20">
          <cell r="C20">
            <v>104384257.27</v>
          </cell>
          <cell r="D20">
            <v>1338119.1000000001</v>
          </cell>
          <cell r="E20">
            <v>95599834.489999995</v>
          </cell>
          <cell r="F20">
            <v>7446303.6799999997</v>
          </cell>
          <cell r="G20"/>
          <cell r="H20">
            <v>893</v>
          </cell>
          <cell r="L20">
            <v>29</v>
          </cell>
          <cell r="M20">
            <v>5026493</v>
          </cell>
          <cell r="N20">
            <v>150075</v>
          </cell>
          <cell r="O20">
            <v>1081969.56</v>
          </cell>
          <cell r="Q20">
            <v>6</v>
          </cell>
          <cell r="R20">
            <v>38051</v>
          </cell>
          <cell r="T20">
            <v>1911157.25</v>
          </cell>
          <cell r="U20">
            <v>198127.5</v>
          </cell>
        </row>
        <row r="21">
          <cell r="C21">
            <v>100292003.40000001</v>
          </cell>
          <cell r="D21">
            <v>1265159.3600000001</v>
          </cell>
          <cell r="E21">
            <v>91597002.709999993</v>
          </cell>
          <cell r="F21">
            <v>7429841.3300000019</v>
          </cell>
          <cell r="G21"/>
          <cell r="H21">
            <v>893</v>
          </cell>
          <cell r="L21">
            <v>29</v>
          </cell>
          <cell r="M21">
            <v>4994655</v>
          </cell>
          <cell r="N21">
            <v>143455</v>
          </cell>
          <cell r="O21">
            <v>1013864.3</v>
          </cell>
          <cell r="Q21">
            <v>6</v>
          </cell>
          <cell r="R21">
            <v>41988</v>
          </cell>
          <cell r="T21">
            <v>664571.75</v>
          </cell>
          <cell r="U21">
            <v>154759.5</v>
          </cell>
        </row>
        <row r="22">
          <cell r="C22">
            <v>102417489.27000001</v>
          </cell>
          <cell r="D22">
            <v>1256099.23</v>
          </cell>
          <cell r="E22">
            <v>93302303.379999995</v>
          </cell>
          <cell r="F22">
            <v>7859086.6599999992</v>
          </cell>
          <cell r="G22"/>
          <cell r="H22">
            <v>893</v>
          </cell>
          <cell r="L22">
            <v>29</v>
          </cell>
          <cell r="M22">
            <v>5517151</v>
          </cell>
          <cell r="N22">
            <v>163090</v>
          </cell>
          <cell r="O22">
            <v>946036.5</v>
          </cell>
          <cell r="Q22">
            <v>5.806451612903226</v>
          </cell>
          <cell r="R22">
            <v>47843</v>
          </cell>
          <cell r="T22">
            <v>443947.5</v>
          </cell>
          <cell r="U22">
            <v>13498</v>
          </cell>
        </row>
        <row r="23">
          <cell r="C23">
            <v>89961206.699999988</v>
          </cell>
          <cell r="D23">
            <v>1120307.92</v>
          </cell>
          <cell r="E23">
            <v>82151718.5</v>
          </cell>
          <cell r="F23">
            <v>6689180.2800000003</v>
          </cell>
          <cell r="G23"/>
          <cell r="H23">
            <v>893</v>
          </cell>
          <cell r="L23">
            <v>29</v>
          </cell>
          <cell r="M23">
            <v>4991008</v>
          </cell>
          <cell r="N23">
            <v>141825</v>
          </cell>
          <cell r="O23">
            <v>608368.25</v>
          </cell>
          <cell r="Q23">
            <v>6</v>
          </cell>
          <cell r="R23">
            <v>38864</v>
          </cell>
          <cell r="T23">
            <v>699656.5</v>
          </cell>
          <cell r="U23">
            <v>-111453.5</v>
          </cell>
        </row>
        <row r="24">
          <cell r="C24">
            <v>106470061.39999999</v>
          </cell>
          <cell r="D24">
            <v>1334121.52</v>
          </cell>
          <cell r="E24">
            <v>97110821.790000007</v>
          </cell>
          <cell r="F24">
            <v>8025118.0899999971</v>
          </cell>
          <cell r="G24"/>
          <cell r="H24">
            <v>893</v>
          </cell>
          <cell r="L24">
            <v>29</v>
          </cell>
          <cell r="M24">
            <v>5640213</v>
          </cell>
          <cell r="N24">
            <v>149995</v>
          </cell>
          <cell r="O24">
            <v>1284543.1000000001</v>
          </cell>
          <cell r="Q24">
            <v>6</v>
          </cell>
          <cell r="R24">
            <v>43533</v>
          </cell>
          <cell r="T24">
            <v>406911.5</v>
          </cell>
          <cell r="U24">
            <v>-62704.75</v>
          </cell>
        </row>
        <row r="25">
          <cell r="C25">
            <v>117572624.58</v>
          </cell>
          <cell r="D25">
            <v>1406667.11</v>
          </cell>
          <cell r="E25">
            <v>107365081.59999999</v>
          </cell>
          <cell r="F25">
            <v>8800875.8699999973</v>
          </cell>
          <cell r="G25"/>
          <cell r="H25">
            <v>893</v>
          </cell>
          <cell r="L25">
            <v>29</v>
          </cell>
          <cell r="M25">
            <v>5734367</v>
          </cell>
          <cell r="N25">
            <v>163855</v>
          </cell>
          <cell r="O25">
            <v>984826.5</v>
          </cell>
          <cell r="Q25">
            <v>6</v>
          </cell>
          <cell r="R25">
            <v>50516</v>
          </cell>
          <cell r="T25">
            <v>593171.75</v>
          </cell>
          <cell r="U25">
            <v>225533.25</v>
          </cell>
        </row>
        <row r="26">
          <cell r="H26">
            <v>893</v>
          </cell>
          <cell r="L26">
            <v>29</v>
          </cell>
          <cell r="Q26">
            <v>6</v>
          </cell>
        </row>
        <row r="36">
          <cell r="C36">
            <v>6745475.4119999995</v>
          </cell>
          <cell r="D36">
            <v>2555488.3480000002</v>
          </cell>
          <cell r="E36">
            <v>7202.79</v>
          </cell>
          <cell r="F36">
            <v>0</v>
          </cell>
        </row>
        <row r="37">
          <cell r="C37">
            <v>6293537.4259999953</v>
          </cell>
          <cell r="D37">
            <v>2389794.6939999978</v>
          </cell>
          <cell r="E37">
            <v>7981.65</v>
          </cell>
          <cell r="F37">
            <v>0</v>
          </cell>
        </row>
        <row r="38">
          <cell r="C38">
            <v>6445494.8839999977</v>
          </cell>
          <cell r="D38">
            <v>2445017.4759999989</v>
          </cell>
          <cell r="E38">
            <v>7108.8399999999992</v>
          </cell>
          <cell r="F38">
            <v>-7584.07</v>
          </cell>
        </row>
        <row r="39">
          <cell r="C39">
            <v>6946069.2970000003</v>
          </cell>
          <cell r="D39">
            <v>2617443.2729999996</v>
          </cell>
          <cell r="E39">
            <v>6734.4800000000005</v>
          </cell>
          <cell r="F39">
            <v>1000</v>
          </cell>
        </row>
        <row r="40">
          <cell r="C40">
            <v>6315962.3890000014</v>
          </cell>
          <cell r="D40">
            <v>2421063.6410000003</v>
          </cell>
          <cell r="E40">
            <v>6551.48</v>
          </cell>
          <cell r="F40">
            <v>0</v>
          </cell>
        </row>
        <row r="41">
          <cell r="C41">
            <v>6683888.203999998</v>
          </cell>
          <cell r="D41">
            <v>2510529.7559999991</v>
          </cell>
          <cell r="E41">
            <v>9374.18</v>
          </cell>
          <cell r="F41">
            <v>-174.06</v>
          </cell>
        </row>
        <row r="42">
          <cell r="C42">
            <v>6398745.8300000001</v>
          </cell>
          <cell r="D42">
            <v>2365705.9099999997</v>
          </cell>
          <cell r="E42">
            <v>10151.17</v>
          </cell>
          <cell r="F42">
            <v>7500</v>
          </cell>
        </row>
        <row r="43">
          <cell r="C43">
            <v>6290439.5510000009</v>
          </cell>
          <cell r="D43">
            <v>2350013.5790000008</v>
          </cell>
          <cell r="E43">
            <v>10362.460000000001</v>
          </cell>
          <cell r="F43">
            <v>5000</v>
          </cell>
        </row>
        <row r="44">
          <cell r="C44">
            <v>6408000.4119999995</v>
          </cell>
          <cell r="D44">
            <v>2458463.7479999997</v>
          </cell>
          <cell r="E44">
            <v>6683.17</v>
          </cell>
          <cell r="F44">
            <v>-482.16</v>
          </cell>
        </row>
        <row r="45">
          <cell r="C45">
            <v>5164627.0709999995</v>
          </cell>
          <cell r="D45">
            <v>2060331.959</v>
          </cell>
          <cell r="E45">
            <v>10968.99</v>
          </cell>
          <cell r="F45">
            <v>0</v>
          </cell>
        </row>
        <row r="46">
          <cell r="C46">
            <v>6756416.8779999977</v>
          </cell>
          <cell r="D46">
            <v>2534072.561999999</v>
          </cell>
          <cell r="E46">
            <v>15092.749999999998</v>
          </cell>
          <cell r="F46">
            <v>2566.6</v>
          </cell>
        </row>
        <row r="47">
          <cell r="C47">
            <v>7295401.2839999972</v>
          </cell>
          <cell r="D47">
            <v>2766350.3359999992</v>
          </cell>
          <cell r="E47">
            <v>7408.03</v>
          </cell>
          <cell r="F47">
            <v>0</v>
          </cell>
        </row>
      </sheetData>
      <sheetData sheetId="3"/>
      <sheetData sheetId="4"/>
      <sheetData sheetId="5">
        <row r="19">
          <cell r="C19">
            <v>43907588.170000002</v>
          </cell>
          <cell r="D19">
            <v>345620.79</v>
          </cell>
          <cell r="E19">
            <v>40379512.979999997</v>
          </cell>
          <cell r="F19">
            <v>3182454.4</v>
          </cell>
          <cell r="H19">
            <v>378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T19">
            <v>96164.25</v>
          </cell>
          <cell r="V19">
            <v>3278618.65</v>
          </cell>
        </row>
        <row r="20">
          <cell r="C20">
            <v>62476402.579999998</v>
          </cell>
          <cell r="D20">
            <v>589491.06000000006</v>
          </cell>
          <cell r="E20">
            <v>57353757.869999997</v>
          </cell>
          <cell r="F20">
            <v>4533153.6500000004</v>
          </cell>
          <cell r="H20">
            <v>453.48</v>
          </cell>
          <cell r="L20">
            <v>10.5</v>
          </cell>
          <cell r="M20">
            <v>1472515</v>
          </cell>
          <cell r="N20">
            <v>34505</v>
          </cell>
          <cell r="O20">
            <v>147291.5</v>
          </cell>
          <cell r="Q20">
            <v>0</v>
          </cell>
          <cell r="R20">
            <v>0</v>
          </cell>
          <cell r="T20">
            <v>307457.75</v>
          </cell>
          <cell r="V20">
            <v>4987902.9000000004</v>
          </cell>
        </row>
        <row r="21">
          <cell r="C21">
            <v>58606408</v>
          </cell>
          <cell r="D21">
            <v>710931.71</v>
          </cell>
          <cell r="E21">
            <v>53664362.659999996</v>
          </cell>
          <cell r="F21">
            <v>4231113.63</v>
          </cell>
          <cell r="H21">
            <v>498.6</v>
          </cell>
          <cell r="L21">
            <v>18</v>
          </cell>
          <cell r="M21">
            <v>2181560</v>
          </cell>
          <cell r="N21">
            <v>52545</v>
          </cell>
          <cell r="O21">
            <v>369946.04</v>
          </cell>
          <cell r="Q21">
            <v>0</v>
          </cell>
          <cell r="R21">
            <v>0</v>
          </cell>
          <cell r="T21">
            <v>347089.05</v>
          </cell>
          <cell r="V21">
            <v>4948148.72</v>
          </cell>
        </row>
        <row r="22">
          <cell r="C22">
            <v>55036333.810000002</v>
          </cell>
          <cell r="D22">
            <v>699808.95</v>
          </cell>
          <cell r="E22">
            <v>50507094.600000001</v>
          </cell>
          <cell r="F22">
            <v>3829430.26</v>
          </cell>
          <cell r="H22">
            <v>503</v>
          </cell>
          <cell r="L22">
            <v>19</v>
          </cell>
          <cell r="M22">
            <v>2501675</v>
          </cell>
          <cell r="N22">
            <v>61265</v>
          </cell>
          <cell r="O22">
            <v>416728.57</v>
          </cell>
          <cell r="Q22">
            <v>0</v>
          </cell>
          <cell r="R22">
            <v>0</v>
          </cell>
          <cell r="T22">
            <v>277301.25</v>
          </cell>
          <cell r="V22">
            <v>4523460.08</v>
          </cell>
        </row>
        <row r="23">
          <cell r="C23">
            <v>72557851.120000005</v>
          </cell>
          <cell r="D23">
            <v>839878.62</v>
          </cell>
          <cell r="E23">
            <v>66410875.119999997</v>
          </cell>
          <cell r="F23">
            <v>5307097.38</v>
          </cell>
          <cell r="H23">
            <v>506.22</v>
          </cell>
          <cell r="L23">
            <v>19.8</v>
          </cell>
          <cell r="M23">
            <v>3181342</v>
          </cell>
          <cell r="N23">
            <v>86600</v>
          </cell>
          <cell r="O23">
            <v>479946.63</v>
          </cell>
          <cell r="Q23">
            <v>0</v>
          </cell>
          <cell r="R23">
            <v>0</v>
          </cell>
          <cell r="T23">
            <v>390346.2</v>
          </cell>
          <cell r="V23">
            <v>6177390.21</v>
          </cell>
        </row>
        <row r="24">
          <cell r="C24">
            <v>67205247.629999995</v>
          </cell>
          <cell r="D24">
            <v>759364.23</v>
          </cell>
          <cell r="E24">
            <v>61335211.850000001</v>
          </cell>
          <cell r="F24">
            <v>5110671.55</v>
          </cell>
          <cell r="H24">
            <v>508</v>
          </cell>
          <cell r="L24">
            <v>20.170000000000002</v>
          </cell>
          <cell r="M24">
            <v>2873030</v>
          </cell>
          <cell r="N24">
            <v>101225</v>
          </cell>
          <cell r="O24">
            <v>559069</v>
          </cell>
          <cell r="Q24">
            <v>0</v>
          </cell>
          <cell r="R24">
            <v>0</v>
          </cell>
          <cell r="T24">
            <v>156396.5</v>
          </cell>
          <cell r="V24">
            <v>5826137.0499999998</v>
          </cell>
        </row>
        <row r="25">
          <cell r="C25">
            <v>91959692.459999993</v>
          </cell>
          <cell r="D25">
            <v>942481.57</v>
          </cell>
          <cell r="E25">
            <v>84024534.530000001</v>
          </cell>
          <cell r="F25">
            <v>6992676.3600000003</v>
          </cell>
          <cell r="H25">
            <v>520.41</v>
          </cell>
          <cell r="L25">
            <v>21</v>
          </cell>
          <cell r="M25">
            <v>3595854</v>
          </cell>
          <cell r="N25">
            <v>119500</v>
          </cell>
          <cell r="O25">
            <v>468914.27</v>
          </cell>
          <cell r="Q25">
            <v>0</v>
          </cell>
          <cell r="R25">
            <v>0</v>
          </cell>
          <cell r="T25">
            <v>122876.65</v>
          </cell>
          <cell r="V25">
            <v>7584467.2800000012</v>
          </cell>
        </row>
        <row r="26">
          <cell r="H26">
            <v>485.02</v>
          </cell>
        </row>
        <row r="41">
          <cell r="C41">
            <v>2091494.0969999998</v>
          </cell>
          <cell r="D41">
            <v>1187124.5530000001</v>
          </cell>
          <cell r="E41">
            <v>8676.81</v>
          </cell>
          <cell r="F41">
            <v>0</v>
          </cell>
        </row>
        <row r="42">
          <cell r="C42">
            <v>3265161.1245000004</v>
          </cell>
          <cell r="D42">
            <v>1722741.7755000002</v>
          </cell>
          <cell r="E42">
            <v>15632.03</v>
          </cell>
          <cell r="F42">
            <v>0</v>
          </cell>
        </row>
        <row r="43">
          <cell r="C43">
            <v>3310933.1678999998</v>
          </cell>
          <cell r="D43">
            <v>1637215.5521</v>
          </cell>
          <cell r="E43">
            <v>17259.03</v>
          </cell>
          <cell r="F43">
            <v>0</v>
          </cell>
        </row>
        <row r="44">
          <cell r="C44">
            <v>3037167.9017999996</v>
          </cell>
          <cell r="D44">
            <v>1486292.1782</v>
          </cell>
          <cell r="E44">
            <v>16409.490000000002</v>
          </cell>
          <cell r="F44">
            <v>0</v>
          </cell>
        </row>
        <row r="45">
          <cell r="C45">
            <v>4126734.8964000004</v>
          </cell>
          <cell r="D45">
            <v>2050655.3136</v>
          </cell>
          <cell r="E45">
            <v>14581.66</v>
          </cell>
          <cell r="F45">
            <v>25.48</v>
          </cell>
        </row>
        <row r="46">
          <cell r="C46">
            <v>3863642.0265000002</v>
          </cell>
          <cell r="D46">
            <v>1962495.0234999999</v>
          </cell>
          <cell r="E46">
            <v>18577.599999999999</v>
          </cell>
          <cell r="F46">
            <v>6000</v>
          </cell>
        </row>
        <row r="47">
          <cell r="C47">
            <v>4937997.9347999999</v>
          </cell>
          <cell r="D47">
            <v>2646469.3452000003</v>
          </cell>
          <cell r="E47">
            <v>18582.27</v>
          </cell>
          <cell r="F47">
            <v>0</v>
          </cell>
        </row>
      </sheetData>
      <sheetData sheetId="6">
        <row r="14">
          <cell r="C14">
            <v>82589044.75</v>
          </cell>
          <cell r="D14">
            <v>1069371.01</v>
          </cell>
          <cell r="E14">
            <v>75594307.629999995</v>
          </cell>
          <cell r="F14">
            <v>5925366.1100000003</v>
          </cell>
          <cell r="H14">
            <v>919</v>
          </cell>
          <cell r="L14">
            <v>29</v>
          </cell>
          <cell r="M14">
            <v>4646364</v>
          </cell>
          <cell r="N14">
            <v>144605</v>
          </cell>
          <cell r="O14">
            <v>946981.5</v>
          </cell>
          <cell r="Q14">
            <v>8</v>
          </cell>
          <cell r="R14">
            <v>61458</v>
          </cell>
          <cell r="T14">
            <v>0</v>
          </cell>
          <cell r="V14">
            <v>6933805.6100000003</v>
          </cell>
        </row>
        <row r="15">
          <cell r="C15">
            <v>88087004.109999999</v>
          </cell>
          <cell r="D15">
            <v>1090584.21</v>
          </cell>
          <cell r="E15">
            <v>80683612.180000007</v>
          </cell>
          <cell r="F15">
            <v>6312807.7199999997</v>
          </cell>
          <cell r="H15">
            <v>908</v>
          </cell>
          <cell r="L15">
            <v>26</v>
          </cell>
          <cell r="M15">
            <v>4692491</v>
          </cell>
          <cell r="N15">
            <v>91125</v>
          </cell>
          <cell r="O15">
            <v>1020236</v>
          </cell>
          <cell r="Q15">
            <v>6</v>
          </cell>
          <cell r="R15">
            <v>71691</v>
          </cell>
          <cell r="T15">
            <v>0</v>
          </cell>
          <cell r="V15">
            <v>7404734.7199999997</v>
          </cell>
        </row>
        <row r="16">
          <cell r="C16">
            <v>84717670.859999999</v>
          </cell>
          <cell r="D16">
            <v>1129230.79</v>
          </cell>
          <cell r="E16">
            <v>77703694.560000002</v>
          </cell>
          <cell r="F16">
            <v>5884745.5099999998</v>
          </cell>
          <cell r="H16">
            <v>901</v>
          </cell>
          <cell r="L16">
            <v>28</v>
          </cell>
          <cell r="M16">
            <v>4314352</v>
          </cell>
          <cell r="N16">
            <v>94780</v>
          </cell>
          <cell r="O16">
            <v>1056951</v>
          </cell>
          <cell r="Q16">
            <v>6</v>
          </cell>
          <cell r="R16">
            <v>61205</v>
          </cell>
          <cell r="T16">
            <v>0</v>
          </cell>
          <cell r="V16">
            <v>7002901.5099999998</v>
          </cell>
        </row>
        <row r="17">
          <cell r="C17">
            <v>85128483.150000006</v>
          </cell>
          <cell r="D17">
            <v>1145415.1100000001</v>
          </cell>
          <cell r="E17">
            <v>77869837.890000001</v>
          </cell>
          <cell r="F17">
            <v>6113230.1500000004</v>
          </cell>
          <cell r="H17">
            <v>892</v>
          </cell>
          <cell r="L17">
            <v>28</v>
          </cell>
          <cell r="M17">
            <v>4266302</v>
          </cell>
          <cell r="N17">
            <v>96890</v>
          </cell>
          <cell r="O17">
            <v>861921.23</v>
          </cell>
          <cell r="Q17">
            <v>6</v>
          </cell>
          <cell r="R17">
            <v>62992</v>
          </cell>
          <cell r="T17">
            <v>55219.13</v>
          </cell>
          <cell r="V17">
            <v>7093362.5100000007</v>
          </cell>
        </row>
        <row r="18">
          <cell r="C18">
            <v>88044269.299999997</v>
          </cell>
          <cell r="D18">
            <v>1194375.43</v>
          </cell>
          <cell r="E18">
            <v>80603506.650000006</v>
          </cell>
          <cell r="F18">
            <v>6246387.2199999997</v>
          </cell>
          <cell r="H18">
            <v>892</v>
          </cell>
          <cell r="L18">
            <v>28</v>
          </cell>
          <cell r="M18">
            <v>4384322</v>
          </cell>
          <cell r="N18">
            <v>100250</v>
          </cell>
          <cell r="O18">
            <v>916450.71</v>
          </cell>
          <cell r="Q18">
            <v>6</v>
          </cell>
          <cell r="R18">
            <v>56315</v>
          </cell>
          <cell r="T18">
            <v>132029.57999999999</v>
          </cell>
          <cell r="V18">
            <v>7351182.5099999998</v>
          </cell>
        </row>
        <row r="19">
          <cell r="C19">
            <v>82451400.670000002</v>
          </cell>
          <cell r="D19">
            <v>1149138.43</v>
          </cell>
          <cell r="E19">
            <v>75533911.109999999</v>
          </cell>
          <cell r="F19">
            <v>5768351.1299999999</v>
          </cell>
          <cell r="H19">
            <v>892</v>
          </cell>
          <cell r="L19">
            <v>28</v>
          </cell>
          <cell r="M19">
            <v>4095389</v>
          </cell>
          <cell r="N19">
            <v>87930</v>
          </cell>
          <cell r="O19">
            <v>897125.41</v>
          </cell>
          <cell r="Q19">
            <v>6</v>
          </cell>
          <cell r="R19">
            <v>45868</v>
          </cell>
          <cell r="T19">
            <v>161833.75</v>
          </cell>
          <cell r="V19">
            <v>6873178.29</v>
          </cell>
        </row>
        <row r="20">
          <cell r="C20">
            <v>83340633.870000005</v>
          </cell>
          <cell r="D20">
            <v>1117210.5</v>
          </cell>
          <cell r="E20">
            <v>76248303.930000007</v>
          </cell>
          <cell r="F20">
            <v>5975119.4400000004</v>
          </cell>
          <cell r="H20">
            <v>892</v>
          </cell>
          <cell r="L20">
            <v>28</v>
          </cell>
          <cell r="M20">
            <v>4010127</v>
          </cell>
          <cell r="N20">
            <v>89145</v>
          </cell>
          <cell r="O20">
            <v>747274.76</v>
          </cell>
          <cell r="Q20">
            <v>6</v>
          </cell>
          <cell r="R20">
            <v>52043</v>
          </cell>
          <cell r="T20">
            <v>152696</v>
          </cell>
          <cell r="V20">
            <v>6927133.2000000002</v>
          </cell>
        </row>
        <row r="21">
          <cell r="C21">
            <v>80806339.519999996</v>
          </cell>
          <cell r="D21">
            <v>1086521.1000000001</v>
          </cell>
          <cell r="E21">
            <v>74043968.810000002</v>
          </cell>
          <cell r="F21">
            <v>5675849.6100000003</v>
          </cell>
          <cell r="H21">
            <v>892</v>
          </cell>
          <cell r="L21">
            <v>28</v>
          </cell>
          <cell r="M21">
            <v>4435596</v>
          </cell>
          <cell r="N21">
            <v>94835</v>
          </cell>
          <cell r="O21">
            <v>1053627.26</v>
          </cell>
          <cell r="Q21">
            <v>6</v>
          </cell>
          <cell r="R21">
            <v>52441</v>
          </cell>
          <cell r="T21">
            <v>61617.7</v>
          </cell>
          <cell r="V21">
            <v>6843535.5700000003</v>
          </cell>
        </row>
        <row r="22">
          <cell r="C22">
            <v>79781164.790000007</v>
          </cell>
          <cell r="D22">
            <v>997820.89</v>
          </cell>
          <cell r="E22">
            <v>73198705.950000003</v>
          </cell>
          <cell r="F22">
            <v>5584637.9500000002</v>
          </cell>
          <cell r="H22">
            <v>891</v>
          </cell>
          <cell r="L22">
            <v>28</v>
          </cell>
          <cell r="M22">
            <v>4754281</v>
          </cell>
          <cell r="N22">
            <v>103305</v>
          </cell>
          <cell r="O22">
            <v>824678.81</v>
          </cell>
          <cell r="Q22">
            <v>6</v>
          </cell>
          <cell r="R22">
            <v>52104</v>
          </cell>
          <cell r="T22">
            <v>68070.75</v>
          </cell>
          <cell r="V22">
            <v>6529491.5099999998</v>
          </cell>
        </row>
        <row r="23">
          <cell r="C23">
            <v>84882049.019999996</v>
          </cell>
          <cell r="D23">
            <v>1075404.33</v>
          </cell>
          <cell r="E23">
            <v>77912895.540000007</v>
          </cell>
          <cell r="F23">
            <v>5893749.1500000004</v>
          </cell>
          <cell r="H23">
            <v>893</v>
          </cell>
          <cell r="L23">
            <v>28</v>
          </cell>
          <cell r="M23">
            <v>4580426</v>
          </cell>
          <cell r="N23">
            <v>101065</v>
          </cell>
          <cell r="O23">
            <v>871718.17</v>
          </cell>
          <cell r="Q23">
            <v>6</v>
          </cell>
          <cell r="R23">
            <v>57924</v>
          </cell>
          <cell r="T23">
            <v>158444.97</v>
          </cell>
          <cell r="V23">
            <v>6981836.29</v>
          </cell>
        </row>
        <row r="24">
          <cell r="C24">
            <v>87221299.930000007</v>
          </cell>
          <cell r="D24">
            <v>1019530.7</v>
          </cell>
          <cell r="E24">
            <v>79886145.769999996</v>
          </cell>
          <cell r="F24">
            <v>6315623.46</v>
          </cell>
          <cell r="H24">
            <v>893</v>
          </cell>
          <cell r="L24">
            <v>28</v>
          </cell>
          <cell r="M24">
            <v>4521115</v>
          </cell>
          <cell r="N24">
            <v>109000</v>
          </cell>
          <cell r="O24">
            <v>862408.39</v>
          </cell>
          <cell r="Q24">
            <v>6</v>
          </cell>
          <cell r="R24">
            <v>52142</v>
          </cell>
          <cell r="T24">
            <v>-94029.75</v>
          </cell>
          <cell r="V24">
            <v>7136144.0999999996</v>
          </cell>
        </row>
        <row r="25">
          <cell r="C25">
            <v>42595439.689999998</v>
          </cell>
          <cell r="D25">
            <v>523244.66</v>
          </cell>
          <cell r="E25">
            <v>39006056.060000002</v>
          </cell>
          <cell r="F25">
            <v>3066138.9699999997</v>
          </cell>
          <cell r="H25">
            <v>893</v>
          </cell>
          <cell r="L25">
            <v>28</v>
          </cell>
          <cell r="M25">
            <v>2532583</v>
          </cell>
          <cell r="N25">
            <v>54080</v>
          </cell>
          <cell r="O25">
            <v>546509.83000000007</v>
          </cell>
          <cell r="Q25">
            <v>6</v>
          </cell>
          <cell r="R25">
            <v>18984</v>
          </cell>
          <cell r="T25">
            <v>-32925.75</v>
          </cell>
          <cell r="V25">
            <v>3598707.05</v>
          </cell>
        </row>
        <row r="26">
          <cell r="H26">
            <v>897</v>
          </cell>
          <cell r="L26">
            <v>28</v>
          </cell>
          <cell r="Q26">
            <v>6</v>
          </cell>
        </row>
        <row r="36">
          <cell r="C36">
            <v>4640576.1993000004</v>
          </cell>
          <cell r="D36">
            <v>2293229.4107000004</v>
          </cell>
          <cell r="E36">
            <v>10061.01</v>
          </cell>
          <cell r="F36">
            <v>40080.910000000003</v>
          </cell>
        </row>
        <row r="37">
          <cell r="C37">
            <v>4959803.1635999996</v>
          </cell>
          <cell r="D37">
            <v>2444931.5564000001</v>
          </cell>
          <cell r="E37">
            <v>7566.78</v>
          </cell>
          <cell r="F37">
            <v>0</v>
          </cell>
        </row>
        <row r="38">
          <cell r="C38">
            <v>4713730.0713</v>
          </cell>
          <cell r="D38">
            <v>2289171.4386999998</v>
          </cell>
          <cell r="E38">
            <v>12704.03</v>
          </cell>
          <cell r="F38">
            <v>0</v>
          </cell>
        </row>
        <row r="39">
          <cell r="C39">
            <v>4733454.1184999999</v>
          </cell>
          <cell r="D39">
            <v>2359908.3915000004</v>
          </cell>
          <cell r="E39">
            <v>10736.96</v>
          </cell>
          <cell r="F39">
            <v>25000</v>
          </cell>
        </row>
        <row r="40">
          <cell r="C40">
            <v>4929539.7095999997</v>
          </cell>
          <cell r="D40">
            <v>2421642.8004000001</v>
          </cell>
          <cell r="E40">
            <v>8222.07</v>
          </cell>
          <cell r="F40">
            <v>0</v>
          </cell>
        </row>
        <row r="41">
          <cell r="C41">
            <v>4628405.6558999997</v>
          </cell>
          <cell r="D41">
            <v>2244772.6340999999</v>
          </cell>
          <cell r="E41">
            <v>9691.51</v>
          </cell>
          <cell r="F41">
            <v>0</v>
          </cell>
        </row>
        <row r="42">
          <cell r="C42">
            <v>4621137.6312000006</v>
          </cell>
          <cell r="D42">
            <v>2305995.5688000005</v>
          </cell>
          <cell r="E42">
            <v>8102.73</v>
          </cell>
          <cell r="F42">
            <v>0</v>
          </cell>
        </row>
        <row r="43">
          <cell r="C43">
            <v>4626702.6183000002</v>
          </cell>
          <cell r="D43">
            <v>2216832.9517000001</v>
          </cell>
          <cell r="E43">
            <v>4546.17</v>
          </cell>
          <cell r="F43">
            <v>0</v>
          </cell>
        </row>
        <row r="44">
          <cell r="C44">
            <v>4368690.1125000007</v>
          </cell>
          <cell r="D44">
            <v>2160801.3975</v>
          </cell>
          <cell r="E44">
            <v>5035.9399999999996</v>
          </cell>
          <cell r="F44">
            <v>12.4</v>
          </cell>
        </row>
        <row r="45">
          <cell r="C45">
            <v>4692340.3905000007</v>
          </cell>
          <cell r="D45">
            <v>2289495.8995000003</v>
          </cell>
          <cell r="E45">
            <v>12116.4</v>
          </cell>
          <cell r="F45">
            <v>-6839.5</v>
          </cell>
        </row>
        <row r="46">
          <cell r="C46">
            <v>4717311.3558</v>
          </cell>
          <cell r="D46">
            <v>2418832.7441999996</v>
          </cell>
          <cell r="E46">
            <v>6910.28</v>
          </cell>
          <cell r="F46">
            <v>0</v>
          </cell>
        </row>
        <row r="47">
          <cell r="C47">
            <v>2410978.8230999997</v>
          </cell>
          <cell r="D47">
            <v>1187728.2268999999</v>
          </cell>
          <cell r="E47">
            <v>7120.97</v>
          </cell>
          <cell r="F47">
            <v>0</v>
          </cell>
        </row>
      </sheetData>
      <sheetData sheetId="7">
        <row r="14">
          <cell r="C14">
            <v>89177665.650000006</v>
          </cell>
          <cell r="D14">
            <v>956803.16</v>
          </cell>
          <cell r="E14">
            <v>82014996.099999994</v>
          </cell>
          <cell r="F14">
            <v>6205866.3899999997</v>
          </cell>
          <cell r="H14">
            <v>943.5</v>
          </cell>
          <cell r="L14">
            <v>32</v>
          </cell>
          <cell r="M14">
            <v>4695737</v>
          </cell>
          <cell r="N14">
            <v>80370</v>
          </cell>
          <cell r="O14">
            <v>812869.54</v>
          </cell>
          <cell r="Q14">
            <v>12</v>
          </cell>
          <cell r="R14">
            <v>93813</v>
          </cell>
          <cell r="T14">
            <v>7112548.9299999997</v>
          </cell>
        </row>
        <row r="15">
          <cell r="C15">
            <v>83570819.329999998</v>
          </cell>
          <cell r="D15">
            <v>1051283.55</v>
          </cell>
          <cell r="E15">
            <v>76803217.420000002</v>
          </cell>
          <cell r="F15">
            <v>5716318.3600000003</v>
          </cell>
          <cell r="H15">
            <v>943</v>
          </cell>
          <cell r="L15">
            <v>32</v>
          </cell>
          <cell r="M15">
            <v>3920837</v>
          </cell>
          <cell r="N15">
            <v>69725</v>
          </cell>
          <cell r="O15">
            <v>707820.25</v>
          </cell>
          <cell r="Q15">
            <v>12</v>
          </cell>
          <cell r="R15">
            <v>83095</v>
          </cell>
          <cell r="T15">
            <v>6507233.6100000003</v>
          </cell>
        </row>
        <row r="16">
          <cell r="C16">
            <v>80053730.280000001</v>
          </cell>
          <cell r="D16">
            <v>975338.08</v>
          </cell>
          <cell r="E16">
            <v>73425347.579999998</v>
          </cell>
          <cell r="F16">
            <v>5653044.6200000001</v>
          </cell>
          <cell r="H16">
            <v>943</v>
          </cell>
          <cell r="L16">
            <v>32</v>
          </cell>
          <cell r="M16">
            <v>4341985</v>
          </cell>
          <cell r="N16">
            <v>75790</v>
          </cell>
          <cell r="O16">
            <v>807487.25</v>
          </cell>
          <cell r="Q16">
            <v>12</v>
          </cell>
          <cell r="R16">
            <v>75411</v>
          </cell>
          <cell r="T16">
            <v>6535942.8700000001</v>
          </cell>
        </row>
        <row r="17">
          <cell r="C17">
            <v>81599882.739999995</v>
          </cell>
          <cell r="D17">
            <v>976164.3</v>
          </cell>
          <cell r="E17">
            <v>74691367.989999995</v>
          </cell>
          <cell r="F17">
            <v>5932350.4500000002</v>
          </cell>
          <cell r="H17">
            <v>943</v>
          </cell>
          <cell r="L17">
            <v>32</v>
          </cell>
          <cell r="M17">
            <v>4547647</v>
          </cell>
          <cell r="N17">
            <v>95045</v>
          </cell>
          <cell r="O17">
            <v>767633.25</v>
          </cell>
          <cell r="Q17">
            <v>12</v>
          </cell>
          <cell r="R17">
            <v>79724</v>
          </cell>
          <cell r="T17">
            <v>6779707.7000000002</v>
          </cell>
        </row>
        <row r="18">
          <cell r="C18">
            <v>82426768.450000003</v>
          </cell>
          <cell r="D18">
            <v>949341.32</v>
          </cell>
          <cell r="E18">
            <v>75615707.150000006</v>
          </cell>
          <cell r="F18">
            <v>5861719.9800000004</v>
          </cell>
          <cell r="H18">
            <v>943</v>
          </cell>
          <cell r="L18">
            <v>32</v>
          </cell>
          <cell r="M18">
            <v>4767862</v>
          </cell>
          <cell r="N18">
            <v>110625</v>
          </cell>
          <cell r="O18">
            <v>796323</v>
          </cell>
          <cell r="Q18">
            <v>12</v>
          </cell>
          <cell r="R18">
            <v>76112</v>
          </cell>
          <cell r="T18">
            <v>6734154.9800000004</v>
          </cell>
        </row>
        <row r="19">
          <cell r="C19">
            <v>79387768.409999996</v>
          </cell>
          <cell r="D19">
            <v>955637.39</v>
          </cell>
          <cell r="E19">
            <v>72698198.939999998</v>
          </cell>
          <cell r="F19">
            <v>5733932.0800000001</v>
          </cell>
          <cell r="H19">
            <v>942</v>
          </cell>
          <cell r="L19">
            <v>32</v>
          </cell>
          <cell r="M19">
            <v>4175078</v>
          </cell>
          <cell r="N19">
            <v>106110</v>
          </cell>
          <cell r="O19">
            <v>810651</v>
          </cell>
          <cell r="Q19">
            <v>12</v>
          </cell>
          <cell r="R19">
            <v>67975</v>
          </cell>
          <cell r="T19">
            <v>6612558.0800000001</v>
          </cell>
        </row>
        <row r="20">
          <cell r="C20">
            <v>73903928.379999995</v>
          </cell>
          <cell r="D20">
            <v>911513.46</v>
          </cell>
          <cell r="E20">
            <v>67502946.030000001</v>
          </cell>
          <cell r="F20">
            <v>5489468.8899999997</v>
          </cell>
          <cell r="H20">
            <v>942</v>
          </cell>
          <cell r="L20">
            <v>32</v>
          </cell>
          <cell r="M20">
            <v>3972005</v>
          </cell>
          <cell r="N20">
            <v>112230</v>
          </cell>
          <cell r="O20">
            <v>929403.5</v>
          </cell>
          <cell r="Q20">
            <v>12</v>
          </cell>
          <cell r="R20">
            <v>64120</v>
          </cell>
          <cell r="T20">
            <v>6482992.3899999997</v>
          </cell>
        </row>
        <row r="21">
          <cell r="C21">
            <v>68840177.340000004</v>
          </cell>
          <cell r="D21">
            <v>841601.65</v>
          </cell>
          <cell r="E21">
            <v>62916050.119999997</v>
          </cell>
          <cell r="F21">
            <v>5082525.57</v>
          </cell>
          <cell r="H21">
            <v>942</v>
          </cell>
          <cell r="L21">
            <v>32</v>
          </cell>
          <cell r="M21">
            <v>3938220</v>
          </cell>
          <cell r="N21">
            <v>124885</v>
          </cell>
          <cell r="O21">
            <v>919760</v>
          </cell>
          <cell r="Q21">
            <v>12</v>
          </cell>
          <cell r="R21">
            <v>61600</v>
          </cell>
          <cell r="T21">
            <v>6063885.5700000003</v>
          </cell>
        </row>
        <row r="22">
          <cell r="C22">
            <v>78540039.109999999</v>
          </cell>
          <cell r="D22">
            <v>940385.02</v>
          </cell>
          <cell r="E22">
            <v>72130962.420000002</v>
          </cell>
          <cell r="F22">
            <v>5468691.6699999999</v>
          </cell>
          <cell r="H22">
            <v>942</v>
          </cell>
          <cell r="L22">
            <v>32</v>
          </cell>
          <cell r="M22">
            <v>4576927</v>
          </cell>
          <cell r="N22">
            <v>157160</v>
          </cell>
          <cell r="O22">
            <v>905872.63</v>
          </cell>
          <cell r="Q22">
            <v>12</v>
          </cell>
          <cell r="R22">
            <v>72421</v>
          </cell>
          <cell r="T22">
            <v>6446985.2999999998</v>
          </cell>
        </row>
        <row r="23">
          <cell r="C23">
            <v>66864658.289999999</v>
          </cell>
          <cell r="D23">
            <v>834452.91</v>
          </cell>
          <cell r="E23">
            <v>61216509.590000004</v>
          </cell>
          <cell r="F23">
            <v>4813695.79</v>
          </cell>
          <cell r="H23">
            <v>942</v>
          </cell>
          <cell r="L23">
            <v>32</v>
          </cell>
          <cell r="M23">
            <v>4195312</v>
          </cell>
          <cell r="N23">
            <v>144825</v>
          </cell>
          <cell r="O23">
            <v>792227.75</v>
          </cell>
          <cell r="Q23">
            <v>12</v>
          </cell>
          <cell r="R23">
            <v>70242</v>
          </cell>
          <cell r="T23">
            <v>5676165.54</v>
          </cell>
        </row>
        <row r="24">
          <cell r="C24">
            <v>73188818.230000004</v>
          </cell>
          <cell r="D24">
            <v>843086.17</v>
          </cell>
          <cell r="E24">
            <v>66876773.149999999</v>
          </cell>
          <cell r="F24">
            <v>5468958.9099999992</v>
          </cell>
          <cell r="H24">
            <v>942</v>
          </cell>
          <cell r="L24">
            <v>32</v>
          </cell>
          <cell r="M24">
            <v>4297683</v>
          </cell>
          <cell r="N24">
            <v>134235</v>
          </cell>
          <cell r="O24">
            <v>1044910.75</v>
          </cell>
          <cell r="Q24">
            <v>12</v>
          </cell>
          <cell r="R24">
            <v>76316</v>
          </cell>
          <cell r="T24">
            <v>6590185.6599999992</v>
          </cell>
        </row>
        <row r="25">
          <cell r="C25">
            <v>90466782.640000001</v>
          </cell>
          <cell r="D25">
            <v>1055699.69</v>
          </cell>
          <cell r="E25">
            <v>82698748.969999999</v>
          </cell>
          <cell r="F25">
            <v>6712333.9800000004</v>
          </cell>
          <cell r="H25">
            <v>942</v>
          </cell>
          <cell r="L25">
            <v>32</v>
          </cell>
          <cell r="M25">
            <v>5171352</v>
          </cell>
          <cell r="N25">
            <v>155245</v>
          </cell>
          <cell r="O25">
            <v>1133433.75</v>
          </cell>
          <cell r="Q25">
            <v>12</v>
          </cell>
          <cell r="R25">
            <v>104072</v>
          </cell>
          <cell r="T25">
            <v>7949839.7300000004</v>
          </cell>
        </row>
        <row r="26">
          <cell r="H26">
            <v>942</v>
          </cell>
          <cell r="L26">
            <v>32</v>
          </cell>
          <cell r="Q26">
            <v>12</v>
          </cell>
        </row>
        <row r="36">
          <cell r="C36">
            <v>4725710.1117000002</v>
          </cell>
          <cell r="D36">
            <v>2386838.8182999999</v>
          </cell>
          <cell r="E36">
            <v>5908.79</v>
          </cell>
          <cell r="F36">
            <v>87.94</v>
          </cell>
        </row>
        <row r="37">
          <cell r="C37">
            <v>4313104.2917999998</v>
          </cell>
          <cell r="D37">
            <v>2194129.3182000001</v>
          </cell>
          <cell r="E37">
            <v>9153.41</v>
          </cell>
          <cell r="F37">
            <v>0</v>
          </cell>
        </row>
        <row r="38">
          <cell r="C38">
            <v>4356026.5356000001</v>
          </cell>
          <cell r="D38">
            <v>2179916.3344000001</v>
          </cell>
          <cell r="E38">
            <v>7039.68</v>
          </cell>
          <cell r="F38">
            <v>0</v>
          </cell>
        </row>
        <row r="39">
          <cell r="C39">
            <v>4500002.3085000003</v>
          </cell>
          <cell r="D39">
            <v>2279705.3914999999</v>
          </cell>
          <cell r="E39">
            <v>8877.7199999999993</v>
          </cell>
          <cell r="F39">
            <v>0</v>
          </cell>
        </row>
        <row r="40">
          <cell r="C40">
            <v>4478075.0874000005</v>
          </cell>
          <cell r="D40">
            <v>2256079.8926000004</v>
          </cell>
          <cell r="E40">
            <v>7032.28</v>
          </cell>
          <cell r="F40">
            <v>0</v>
          </cell>
        </row>
        <row r="41">
          <cell r="C41">
            <v>4403140.6104000006</v>
          </cell>
          <cell r="D41">
            <v>2209417.4696</v>
          </cell>
          <cell r="E41">
            <v>6185.32</v>
          </cell>
          <cell r="F41">
            <v>699.5</v>
          </cell>
        </row>
        <row r="42">
          <cell r="C42">
            <v>4352536.5506999996</v>
          </cell>
          <cell r="D42">
            <v>2130455.8392999996</v>
          </cell>
          <cell r="E42">
            <v>7917.51</v>
          </cell>
          <cell r="F42">
            <v>0</v>
          </cell>
        </row>
        <row r="43">
          <cell r="C43">
            <v>4085215.1091</v>
          </cell>
          <cell r="D43">
            <v>1978670.4609000001</v>
          </cell>
          <cell r="E43">
            <v>7165.16</v>
          </cell>
          <cell r="F43">
            <v>0</v>
          </cell>
        </row>
        <row r="44">
          <cell r="C44">
            <v>4325740.0191000002</v>
          </cell>
          <cell r="D44">
            <v>2121245.2809000001</v>
          </cell>
          <cell r="E44">
            <v>4725.62</v>
          </cell>
          <cell r="F44">
            <v>465.06</v>
          </cell>
        </row>
        <row r="45">
          <cell r="C45">
            <v>3808851.1227000002</v>
          </cell>
          <cell r="D45">
            <v>1867314.4173000001</v>
          </cell>
          <cell r="E45">
            <v>7313.45</v>
          </cell>
          <cell r="F45">
            <v>10788.25</v>
          </cell>
        </row>
        <row r="46">
          <cell r="C46">
            <v>4454548.1882999996</v>
          </cell>
          <cell r="D46">
            <v>2135637.4716999996</v>
          </cell>
          <cell r="E46">
            <v>9724.2900000000009</v>
          </cell>
          <cell r="F46">
            <v>69.72</v>
          </cell>
        </row>
        <row r="47">
          <cell r="C47">
            <v>5342525.5823999997</v>
          </cell>
          <cell r="D47">
            <v>2607314.1476000003</v>
          </cell>
          <cell r="E47">
            <v>7147.71</v>
          </cell>
          <cell r="F47">
            <v>224.19</v>
          </cell>
        </row>
      </sheetData>
      <sheetData sheetId="8">
        <row r="14">
          <cell r="C14">
            <v>64714911.169999994</v>
          </cell>
          <cell r="D14">
            <v>671804.35999999987</v>
          </cell>
          <cell r="E14">
            <v>59022105.963</v>
          </cell>
          <cell r="H14">
            <v>5021000.8469999982</v>
          </cell>
          <cell r="I14">
            <v>943.4666666666667</v>
          </cell>
          <cell r="L14">
            <v>23</v>
          </cell>
          <cell r="M14">
            <v>3397190</v>
          </cell>
          <cell r="N14">
            <v>23010</v>
          </cell>
          <cell r="O14">
            <v>770511.75</v>
          </cell>
          <cell r="Q14">
            <v>12</v>
          </cell>
          <cell r="R14">
            <v>94299</v>
          </cell>
          <cell r="T14">
            <v>5885811.5969999982</v>
          </cell>
        </row>
        <row r="15">
          <cell r="C15">
            <v>70618249.510000005</v>
          </cell>
          <cell r="D15">
            <v>876810.45000000007</v>
          </cell>
          <cell r="E15">
            <v>64640967.269999996</v>
          </cell>
          <cell r="H15">
            <v>5100471.7899999982</v>
          </cell>
          <cell r="I15">
            <v>944</v>
          </cell>
          <cell r="L15">
            <v>29.677419354838708</v>
          </cell>
          <cell r="M15">
            <v>3822996</v>
          </cell>
          <cell r="N15">
            <v>27510</v>
          </cell>
          <cell r="O15">
            <v>801808</v>
          </cell>
          <cell r="Q15">
            <v>12</v>
          </cell>
          <cell r="R15">
            <v>85057</v>
          </cell>
          <cell r="T15">
            <v>5987336.7899999982</v>
          </cell>
        </row>
        <row r="16">
          <cell r="C16">
            <v>67278329.299999997</v>
          </cell>
          <cell r="D16">
            <v>921429.0199999999</v>
          </cell>
          <cell r="E16">
            <v>61461117.660000011</v>
          </cell>
          <cell r="H16">
            <v>4895782.620000001</v>
          </cell>
          <cell r="I16">
            <v>944</v>
          </cell>
          <cell r="L16">
            <v>32</v>
          </cell>
          <cell r="M16">
            <v>3609609</v>
          </cell>
          <cell r="N16">
            <v>25760</v>
          </cell>
          <cell r="O16">
            <v>746435.75</v>
          </cell>
          <cell r="Q16">
            <v>12</v>
          </cell>
          <cell r="R16">
            <v>72459</v>
          </cell>
          <cell r="T16">
            <v>5714677.370000001</v>
          </cell>
        </row>
        <row r="17">
          <cell r="C17">
            <v>73332828.059999987</v>
          </cell>
          <cell r="D17">
            <v>988849.01999999979</v>
          </cell>
          <cell r="E17">
            <v>67177853.620000005</v>
          </cell>
          <cell r="H17">
            <v>5177649.59</v>
          </cell>
          <cell r="I17">
            <v>944</v>
          </cell>
          <cell r="L17">
            <v>32</v>
          </cell>
          <cell r="M17">
            <v>3522908</v>
          </cell>
          <cell r="N17">
            <v>12175</v>
          </cell>
          <cell r="O17">
            <v>644741.75</v>
          </cell>
          <cell r="Q17">
            <v>12</v>
          </cell>
          <cell r="R17">
            <v>75765</v>
          </cell>
          <cell r="T17">
            <v>5898156.3399999999</v>
          </cell>
        </row>
        <row r="18">
          <cell r="C18">
            <v>72141701.969999999</v>
          </cell>
          <cell r="D18">
            <v>987612.13</v>
          </cell>
          <cell r="E18">
            <v>66226454.460000001</v>
          </cell>
          <cell r="H18">
            <v>4941760.379999999</v>
          </cell>
          <cell r="I18">
            <v>940.77419354838707</v>
          </cell>
          <cell r="L18">
            <v>32</v>
          </cell>
          <cell r="M18">
            <v>3700523</v>
          </cell>
          <cell r="N18">
            <v>15360</v>
          </cell>
          <cell r="O18">
            <v>728758.25</v>
          </cell>
          <cell r="Q18">
            <v>12</v>
          </cell>
          <cell r="R18">
            <v>76600</v>
          </cell>
          <cell r="T18">
            <v>5747118.629999999</v>
          </cell>
        </row>
        <row r="19">
          <cell r="C19">
            <v>72370334.39000003</v>
          </cell>
          <cell r="D19">
            <v>1010506.8699999995</v>
          </cell>
          <cell r="E19">
            <v>66525918.479999989</v>
          </cell>
          <cell r="H19">
            <v>4846844.040000001</v>
          </cell>
          <cell r="I19">
            <v>944</v>
          </cell>
          <cell r="L19">
            <v>32</v>
          </cell>
          <cell r="M19">
            <v>3426314</v>
          </cell>
          <cell r="N19">
            <v>21305</v>
          </cell>
          <cell r="O19">
            <v>737721.5</v>
          </cell>
          <cell r="Q19">
            <v>12</v>
          </cell>
          <cell r="R19">
            <v>62882</v>
          </cell>
          <cell r="T19">
            <v>5647447.540000001</v>
          </cell>
        </row>
        <row r="20">
          <cell r="C20">
            <v>68397566.74000001</v>
          </cell>
          <cell r="D20">
            <v>769184.17999999982</v>
          </cell>
          <cell r="E20">
            <v>62999470.190000005</v>
          </cell>
          <cell r="H20">
            <v>4642055.3699999992</v>
          </cell>
          <cell r="I20">
            <v>944</v>
          </cell>
          <cell r="L20">
            <v>32</v>
          </cell>
          <cell r="M20">
            <v>3399954</v>
          </cell>
          <cell r="N20">
            <v>20815</v>
          </cell>
          <cell r="O20">
            <v>706654.5</v>
          </cell>
          <cell r="Q20">
            <v>12</v>
          </cell>
          <cell r="R20">
            <v>49083</v>
          </cell>
          <cell r="T20">
            <v>5397792.8699999992</v>
          </cell>
        </row>
        <row r="21">
          <cell r="C21">
            <v>68314545.022</v>
          </cell>
          <cell r="D21">
            <v>666115.53</v>
          </cell>
          <cell r="E21">
            <v>63068226.140000008</v>
          </cell>
          <cell r="H21">
            <v>4589768.352</v>
          </cell>
          <cell r="I21">
            <v>944</v>
          </cell>
          <cell r="L21">
            <v>32</v>
          </cell>
          <cell r="M21">
            <v>3689202</v>
          </cell>
          <cell r="N21">
            <v>29815</v>
          </cell>
          <cell r="O21">
            <v>665530.5</v>
          </cell>
          <cell r="Q21">
            <v>12</v>
          </cell>
          <cell r="R21">
            <v>62092</v>
          </cell>
          <cell r="T21">
            <v>5317390.852</v>
          </cell>
        </row>
        <row r="22">
          <cell r="C22">
            <v>68824354.829999998</v>
          </cell>
          <cell r="D22">
            <v>701425.02999999991</v>
          </cell>
          <cell r="E22">
            <v>63121833.329999998</v>
          </cell>
          <cell r="H22">
            <v>5013222.4700000007</v>
          </cell>
          <cell r="I22">
            <v>944</v>
          </cell>
          <cell r="L22">
            <v>32</v>
          </cell>
          <cell r="M22">
            <v>3946512</v>
          </cell>
          <cell r="N22">
            <v>42305</v>
          </cell>
          <cell r="O22">
            <v>776119</v>
          </cell>
          <cell r="Q22">
            <v>12</v>
          </cell>
          <cell r="R22">
            <v>61894</v>
          </cell>
          <cell r="T22">
            <v>5851235.4700000007</v>
          </cell>
        </row>
        <row r="23">
          <cell r="C23">
            <v>66796465.029999994</v>
          </cell>
          <cell r="D23">
            <v>684582.60999999987</v>
          </cell>
          <cell r="E23">
            <v>61419638.760000005</v>
          </cell>
          <cell r="H23">
            <v>4706993.6599999983</v>
          </cell>
          <cell r="I23">
            <v>944</v>
          </cell>
          <cell r="L23">
            <v>32</v>
          </cell>
          <cell r="M23">
            <v>3707925</v>
          </cell>
          <cell r="N23">
            <v>44155</v>
          </cell>
          <cell r="O23">
            <v>863188.99</v>
          </cell>
          <cell r="Q23">
            <v>12</v>
          </cell>
          <cell r="R23">
            <v>80019</v>
          </cell>
          <cell r="T23">
            <v>5650201.6499999985</v>
          </cell>
        </row>
        <row r="24">
          <cell r="C24">
            <v>70851023.790000021</v>
          </cell>
          <cell r="D24">
            <v>706569.22</v>
          </cell>
          <cell r="E24">
            <v>65157995.090000004</v>
          </cell>
          <cell r="H24">
            <v>4997129.4799999995</v>
          </cell>
          <cell r="I24">
            <v>944</v>
          </cell>
          <cell r="L24">
            <v>32</v>
          </cell>
          <cell r="M24">
            <v>3617428</v>
          </cell>
          <cell r="N24">
            <v>49975</v>
          </cell>
          <cell r="O24">
            <v>780844.5</v>
          </cell>
          <cell r="Q24">
            <v>12</v>
          </cell>
          <cell r="R24">
            <v>98619</v>
          </cell>
          <cell r="T24">
            <v>5876592.9799999995</v>
          </cell>
        </row>
        <row r="25">
          <cell r="C25">
            <v>88173768.950000003</v>
          </cell>
          <cell r="D25">
            <v>845672.92</v>
          </cell>
          <cell r="E25">
            <v>81060792.280000001</v>
          </cell>
          <cell r="H25">
            <v>6283151.7499999991</v>
          </cell>
          <cell r="I25">
            <v>944</v>
          </cell>
          <cell r="L25">
            <v>32</v>
          </cell>
          <cell r="M25">
            <v>4636481</v>
          </cell>
          <cell r="N25">
            <v>70910</v>
          </cell>
          <cell r="O25">
            <v>1015104.75</v>
          </cell>
          <cell r="Q25">
            <v>12</v>
          </cell>
          <cell r="R25">
            <v>107453</v>
          </cell>
          <cell r="T25">
            <v>7405709.4999999991</v>
          </cell>
        </row>
        <row r="26">
          <cell r="I26">
            <v>944</v>
          </cell>
          <cell r="L26">
            <v>31</v>
          </cell>
          <cell r="Q26">
            <v>12</v>
          </cell>
        </row>
        <row r="36">
          <cell r="D36">
            <v>3941560.2086099992</v>
          </cell>
          <cell r="E36">
            <v>1944251.3883899993</v>
          </cell>
          <cell r="F36">
            <v>0</v>
          </cell>
        </row>
        <row r="37">
          <cell r="D37">
            <v>4011475.7276999988</v>
          </cell>
          <cell r="E37">
            <v>1975861.0622999994</v>
          </cell>
          <cell r="F37">
            <v>0</v>
          </cell>
        </row>
        <row r="38">
          <cell r="D38">
            <v>3821348.3256000006</v>
          </cell>
          <cell r="E38">
            <v>1893329.0444000005</v>
          </cell>
          <cell r="F38">
            <v>0</v>
          </cell>
        </row>
        <row r="39">
          <cell r="D39">
            <v>3910375.3167000003</v>
          </cell>
          <cell r="E39">
            <v>1987781.0233</v>
          </cell>
          <cell r="F39">
            <v>7475.85</v>
          </cell>
        </row>
        <row r="40">
          <cell r="D40">
            <v>3838131.464399999</v>
          </cell>
          <cell r="E40">
            <v>1908987.1655999995</v>
          </cell>
          <cell r="F40">
            <v>0</v>
          </cell>
        </row>
        <row r="41">
          <cell r="D41">
            <v>3774054.8952000006</v>
          </cell>
          <cell r="E41">
            <v>1873392.6448000004</v>
          </cell>
          <cell r="F41">
            <v>0</v>
          </cell>
        </row>
        <row r="42">
          <cell r="D42">
            <v>3604658.6330999993</v>
          </cell>
          <cell r="E42">
            <v>1793134.2368999997</v>
          </cell>
          <cell r="F42">
            <v>0</v>
          </cell>
        </row>
        <row r="43">
          <cell r="D43">
            <v>3546414.31176</v>
          </cell>
          <cell r="E43">
            <v>1770976.54024</v>
          </cell>
          <cell r="F43">
            <v>0</v>
          </cell>
        </row>
        <row r="44">
          <cell r="D44">
            <v>3912541.8561000004</v>
          </cell>
          <cell r="E44">
            <v>1938693.6139000002</v>
          </cell>
          <cell r="F44">
            <v>13242.37</v>
          </cell>
        </row>
        <row r="45">
          <cell r="D45">
            <v>3814293.1967999991</v>
          </cell>
          <cell r="E45">
            <v>1835908.4531999994</v>
          </cell>
          <cell r="F45">
            <v>5050.1499999999996</v>
          </cell>
        </row>
        <row r="46">
          <cell r="D46">
            <v>3939708.7223999999</v>
          </cell>
          <cell r="E46">
            <v>1936884.2575999999</v>
          </cell>
          <cell r="F46">
            <v>24427.010000000002</v>
          </cell>
        </row>
        <row r="47">
          <cell r="D47">
            <v>4968687.5774999997</v>
          </cell>
          <cell r="E47">
            <v>2437021.9224999994</v>
          </cell>
          <cell r="F47">
            <v>22181.13</v>
          </cell>
        </row>
      </sheetData>
      <sheetData sheetId="9">
        <row r="22">
          <cell r="C22">
            <v>56269364.82</v>
          </cell>
          <cell r="D22">
            <v>668838.70000000007</v>
          </cell>
          <cell r="E22">
            <v>51238185.889999993</v>
          </cell>
          <cell r="G22">
            <v>4362340.2300000004</v>
          </cell>
          <cell r="H22">
            <v>471.64516129032256</v>
          </cell>
          <cell r="K22">
            <v>23</v>
          </cell>
          <cell r="L22">
            <v>4253907</v>
          </cell>
          <cell r="M22">
            <v>0</v>
          </cell>
          <cell r="N22">
            <v>643441.25</v>
          </cell>
          <cell r="P22">
            <v>12</v>
          </cell>
          <cell r="Q22">
            <v>125724</v>
          </cell>
          <cell r="S22">
            <v>5131505.4800000004</v>
          </cell>
        </row>
        <row r="23">
          <cell r="C23">
            <v>65046008.37999998</v>
          </cell>
          <cell r="D23">
            <v>824887.08000000007</v>
          </cell>
          <cell r="E23">
            <v>59477620.25</v>
          </cell>
          <cell r="G23">
            <v>4743501.05</v>
          </cell>
          <cell r="H23">
            <v>657.64516129032256</v>
          </cell>
          <cell r="K23">
            <v>23</v>
          </cell>
          <cell r="L23">
            <v>3744973</v>
          </cell>
          <cell r="M23">
            <v>0</v>
          </cell>
          <cell r="N23">
            <v>798772.25</v>
          </cell>
          <cell r="P23">
            <v>12</v>
          </cell>
          <cell r="Q23">
            <v>116984</v>
          </cell>
          <cell r="S23">
            <v>5659257.2999999998</v>
          </cell>
        </row>
        <row r="24">
          <cell r="C24">
            <v>66966346.079999998</v>
          </cell>
          <cell r="D24">
            <v>849577.37999999989</v>
          </cell>
          <cell r="E24">
            <v>61103283.710000016</v>
          </cell>
          <cell r="G24">
            <v>5013484.99</v>
          </cell>
          <cell r="H24">
            <v>893.67857142857144</v>
          </cell>
          <cell r="K24">
            <v>23</v>
          </cell>
          <cell r="L24">
            <v>3536795</v>
          </cell>
          <cell r="M24">
            <v>0</v>
          </cell>
          <cell r="N24">
            <v>814864.5</v>
          </cell>
          <cell r="P24">
            <v>12</v>
          </cell>
          <cell r="Q24">
            <v>117129</v>
          </cell>
          <cell r="S24">
            <v>5945478.4900000002</v>
          </cell>
        </row>
        <row r="25">
          <cell r="C25">
            <v>68638243.100000009</v>
          </cell>
          <cell r="D25">
            <v>771802.17000000016</v>
          </cell>
          <cell r="E25">
            <v>62679181.059999987</v>
          </cell>
          <cell r="G25">
            <v>5187259.8699999973</v>
          </cell>
          <cell r="H25">
            <v>942.25806451612902</v>
          </cell>
          <cell r="K25">
            <v>23</v>
          </cell>
          <cell r="L25">
            <v>3820042</v>
          </cell>
          <cell r="M25">
            <v>25620</v>
          </cell>
          <cell r="N25">
            <v>871317.75</v>
          </cell>
          <cell r="P25">
            <v>12</v>
          </cell>
          <cell r="Q25">
            <v>117796</v>
          </cell>
          <cell r="S25">
            <v>6176373.6199999973</v>
          </cell>
        </row>
        <row r="26">
          <cell r="H26">
            <v>738</v>
          </cell>
          <cell r="K26">
            <v>23</v>
          </cell>
          <cell r="P26">
            <v>12</v>
          </cell>
        </row>
        <row r="44">
          <cell r="D44">
            <v>3440523.0699000005</v>
          </cell>
          <cell r="E44">
            <v>1690982.4101</v>
          </cell>
        </row>
        <row r="45">
          <cell r="D45">
            <v>3812586.2864999999</v>
          </cell>
          <cell r="E45">
            <v>1846671.0134999999</v>
          </cell>
        </row>
        <row r="46">
          <cell r="D46">
            <v>3997289.6937000002</v>
          </cell>
          <cell r="E46">
            <v>1948188.7963</v>
          </cell>
        </row>
        <row r="47">
          <cell r="D47">
            <v>4158176.0930999983</v>
          </cell>
          <cell r="E47">
            <v>2018197.526899999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-26 Rivers Monthly"/>
      <sheetName val="24-25 Rivers Monthly"/>
      <sheetName val="23-24 Rivers Monthly"/>
      <sheetName val="22-23 Rivers Monthly"/>
      <sheetName val="21-22 Rivers Monthly "/>
      <sheetName val="20-21 Rivers Monthly"/>
      <sheetName val="19-20 Rivers Monthly"/>
      <sheetName val="18-19 Rivers Monthly"/>
      <sheetName val="17-18 Rivers Monthly"/>
      <sheetName val="16-17 Rivers Monthly"/>
    </sheetNames>
    <sheetDataSet>
      <sheetData sheetId="0">
        <row r="14">
          <cell r="C14">
            <v>170200396.01000002</v>
          </cell>
          <cell r="D14">
            <v>1286752.04</v>
          </cell>
          <cell r="E14">
            <v>154311376.34999999</v>
          </cell>
          <cell r="F14">
            <v>14602267.619999994</v>
          </cell>
          <cell r="H14">
            <v>1052</v>
          </cell>
          <cell r="L14">
            <v>62</v>
          </cell>
          <cell r="M14">
            <v>17048975</v>
          </cell>
          <cell r="N14">
            <v>208580</v>
          </cell>
          <cell r="O14">
            <v>3406107.25</v>
          </cell>
          <cell r="Q14">
            <v>16</v>
          </cell>
          <cell r="R14">
            <v>329694</v>
          </cell>
          <cell r="T14">
            <v>2722270.6100000003</v>
          </cell>
          <cell r="U14">
            <v>19936.93</v>
          </cell>
          <cell r="W14">
            <v>18358005.799999993</v>
          </cell>
        </row>
        <row r="15">
          <cell r="C15">
            <v>182288971.99999997</v>
          </cell>
          <cell r="D15">
            <v>1314589.48</v>
          </cell>
          <cell r="E15">
            <v>165533447.52000001</v>
          </cell>
          <cell r="F15">
            <v>15440935</v>
          </cell>
          <cell r="H15">
            <v>1052</v>
          </cell>
          <cell r="L15">
            <v>62</v>
          </cell>
          <cell r="M15">
            <v>18401801</v>
          </cell>
          <cell r="N15">
            <v>244185</v>
          </cell>
          <cell r="O15">
            <v>3591225</v>
          </cell>
          <cell r="Q15">
            <v>16</v>
          </cell>
          <cell r="R15">
            <v>360486</v>
          </cell>
          <cell r="T15">
            <v>2231402.1600000006</v>
          </cell>
          <cell r="U15">
            <v>269480.33000000007</v>
          </cell>
          <cell r="W15">
            <v>19662126.329999998</v>
          </cell>
        </row>
        <row r="16">
          <cell r="C16">
            <v>169567914.92000002</v>
          </cell>
          <cell r="D16">
            <v>1205396.31</v>
          </cell>
          <cell r="E16">
            <v>153646114.22</v>
          </cell>
          <cell r="F16">
            <v>14716404.390000002</v>
          </cell>
          <cell r="H16">
            <v>1052</v>
          </cell>
          <cell r="L16">
            <v>62</v>
          </cell>
          <cell r="M16">
            <v>17040428</v>
          </cell>
          <cell r="N16">
            <v>222205</v>
          </cell>
          <cell r="O16">
            <v>2994834.25</v>
          </cell>
          <cell r="Q16">
            <v>16</v>
          </cell>
          <cell r="R16">
            <v>325704</v>
          </cell>
          <cell r="T16">
            <v>2489754.1899999995</v>
          </cell>
          <cell r="U16">
            <v>397589.03999999992</v>
          </cell>
          <cell r="W16">
            <v>18434531.68</v>
          </cell>
        </row>
        <row r="17">
          <cell r="C17">
            <v>175053309.69</v>
          </cell>
          <cell r="D17">
            <v>1284120.7</v>
          </cell>
          <cell r="E17">
            <v>158307614.72</v>
          </cell>
          <cell r="F17">
            <v>15461574.270000001</v>
          </cell>
          <cell r="H17">
            <v>1052</v>
          </cell>
          <cell r="L17">
            <v>62</v>
          </cell>
          <cell r="M17">
            <v>17722337</v>
          </cell>
          <cell r="N17">
            <v>206360</v>
          </cell>
          <cell r="O17">
            <v>3496990.75</v>
          </cell>
          <cell r="Q17">
            <v>16</v>
          </cell>
          <cell r="R17">
            <v>323066</v>
          </cell>
          <cell r="T17">
            <v>1470181.7700000003</v>
          </cell>
          <cell r="U17">
            <v>197839.82</v>
          </cell>
          <cell r="W17">
            <v>19479470.840000004</v>
          </cell>
        </row>
        <row r="18">
          <cell r="C18">
            <v>185080260.93000004</v>
          </cell>
          <cell r="D18">
            <v>1443364.12</v>
          </cell>
          <cell r="E18">
            <v>168083364.16</v>
          </cell>
          <cell r="F18">
            <v>15553532.650000004</v>
          </cell>
          <cell r="H18">
            <v>1052</v>
          </cell>
          <cell r="L18">
            <v>62</v>
          </cell>
          <cell r="M18">
            <v>19379726</v>
          </cell>
          <cell r="N18">
            <v>215800</v>
          </cell>
          <cell r="O18">
            <v>3877350.75</v>
          </cell>
          <cell r="Q18">
            <v>16</v>
          </cell>
          <cell r="R18">
            <v>337759</v>
          </cell>
          <cell r="T18">
            <v>1848702.1300000004</v>
          </cell>
          <cell r="U18">
            <v>333647.34999999986</v>
          </cell>
          <cell r="W18">
            <v>20102289.750000007</v>
          </cell>
        </row>
        <row r="19">
          <cell r="C19">
            <v>163606379.74999997</v>
          </cell>
          <cell r="D19">
            <v>1282835.6100000001</v>
          </cell>
          <cell r="E19">
            <v>147897943</v>
          </cell>
          <cell r="F19">
            <v>14425601.140000002</v>
          </cell>
          <cell r="H19">
            <v>1052</v>
          </cell>
          <cell r="L19">
            <v>62</v>
          </cell>
          <cell r="M19">
            <v>16460358</v>
          </cell>
          <cell r="N19">
            <v>228670</v>
          </cell>
          <cell r="O19">
            <v>3703125.5</v>
          </cell>
          <cell r="Q19">
            <v>16</v>
          </cell>
          <cell r="R19">
            <v>345732</v>
          </cell>
          <cell r="T19">
            <v>3669228.3900000006</v>
          </cell>
          <cell r="U19">
            <v>580371.81000000006</v>
          </cell>
          <cell r="W19">
            <v>19054830.449999999</v>
          </cell>
        </row>
        <row r="20">
          <cell r="C20">
            <v>171813647.77999997</v>
          </cell>
          <cell r="D20">
            <v>1427839.4</v>
          </cell>
          <cell r="E20">
            <v>155921455.53999999</v>
          </cell>
          <cell r="F20">
            <v>14464352.839999998</v>
          </cell>
          <cell r="H20">
            <v>1052</v>
          </cell>
          <cell r="L20">
            <v>62</v>
          </cell>
          <cell r="M20">
            <v>15999464</v>
          </cell>
          <cell r="N20">
            <v>226035</v>
          </cell>
          <cell r="O20">
            <v>2642033.25</v>
          </cell>
          <cell r="Q20">
            <v>16</v>
          </cell>
          <cell r="R20">
            <v>324617</v>
          </cell>
          <cell r="T20">
            <v>3045311.32</v>
          </cell>
          <cell r="U20">
            <v>289406.43999999977</v>
          </cell>
          <cell r="W20">
            <v>17720409.529999997</v>
          </cell>
        </row>
        <row r="21">
          <cell r="C21">
            <v>168871125.04999998</v>
          </cell>
          <cell r="D21">
            <v>1406542.48</v>
          </cell>
          <cell r="E21">
            <v>153366947.62</v>
          </cell>
          <cell r="F21">
            <v>14097634.949999997</v>
          </cell>
          <cell r="H21">
            <v>1052</v>
          </cell>
          <cell r="L21">
            <v>62</v>
          </cell>
          <cell r="M21">
            <v>18103132</v>
          </cell>
          <cell r="N21">
            <v>240865</v>
          </cell>
          <cell r="O21">
            <v>3794439.5</v>
          </cell>
          <cell r="Q21">
            <v>16</v>
          </cell>
          <cell r="R21">
            <v>347359</v>
          </cell>
          <cell r="T21">
            <v>3220019.6599999997</v>
          </cell>
          <cell r="U21">
            <v>533159.59000000008</v>
          </cell>
          <cell r="W21">
            <v>18772593.039999995</v>
          </cell>
        </row>
        <row r="22">
          <cell r="C22">
            <v>163759422.80000001</v>
          </cell>
          <cell r="D22">
            <v>1359962.41</v>
          </cell>
          <cell r="E22">
            <v>148215895.91</v>
          </cell>
          <cell r="F22">
            <v>14183564.48</v>
          </cell>
          <cell r="H22">
            <v>1052</v>
          </cell>
          <cell r="L22">
            <v>62</v>
          </cell>
          <cell r="M22">
            <v>17489929</v>
          </cell>
          <cell r="N22">
            <v>341915</v>
          </cell>
          <cell r="O22">
            <v>4520102.75</v>
          </cell>
          <cell r="Q22">
            <v>16</v>
          </cell>
          <cell r="R22">
            <v>322701</v>
          </cell>
          <cell r="T22">
            <v>3046910.6599999988</v>
          </cell>
          <cell r="U22">
            <v>378479</v>
          </cell>
          <cell r="W22">
            <v>19404847.23</v>
          </cell>
        </row>
        <row r="23">
          <cell r="C23">
            <v>173443380.50999996</v>
          </cell>
          <cell r="D23">
            <v>1516444.99</v>
          </cell>
          <cell r="E23">
            <v>156973870.31</v>
          </cell>
          <cell r="F23">
            <v>14953065.210000001</v>
          </cell>
          <cell r="H23">
            <v>1052</v>
          </cell>
          <cell r="L23">
            <v>62</v>
          </cell>
          <cell r="M23">
            <v>17720217</v>
          </cell>
          <cell r="N23">
            <v>269900</v>
          </cell>
          <cell r="O23">
            <v>3350989.5</v>
          </cell>
          <cell r="Q23">
            <v>16</v>
          </cell>
          <cell r="R23">
            <v>360137</v>
          </cell>
          <cell r="T23">
            <v>3177141.18</v>
          </cell>
          <cell r="U23">
            <v>349001.61</v>
          </cell>
          <cell r="W23">
            <v>19013193.32</v>
          </cell>
        </row>
        <row r="24">
          <cell r="C24"/>
          <cell r="D24"/>
          <cell r="E24"/>
          <cell r="F24"/>
          <cell r="H24"/>
          <cell r="L24"/>
          <cell r="M24"/>
          <cell r="N24"/>
          <cell r="O24"/>
          <cell r="Q24"/>
          <cell r="R24"/>
          <cell r="T24"/>
          <cell r="U24"/>
          <cell r="W24">
            <v>0</v>
          </cell>
        </row>
        <row r="25">
          <cell r="C25"/>
          <cell r="D25"/>
          <cell r="E25"/>
          <cell r="F25"/>
          <cell r="H25"/>
          <cell r="L25"/>
          <cell r="M25"/>
          <cell r="N25"/>
          <cell r="O25"/>
          <cell r="Q25"/>
          <cell r="R25"/>
          <cell r="T25"/>
          <cell r="U25"/>
          <cell r="W25">
            <v>0</v>
          </cell>
        </row>
        <row r="26">
          <cell r="H26">
            <v>1052</v>
          </cell>
          <cell r="L26">
            <v>62</v>
          </cell>
          <cell r="Q26">
            <v>16</v>
          </cell>
        </row>
        <row r="36">
          <cell r="C36">
            <v>13601751.695999995</v>
          </cell>
          <cell r="D36">
            <v>4756254.1039999975</v>
          </cell>
          <cell r="E36">
            <v>19919.89</v>
          </cell>
          <cell r="F36">
            <v>-5409.61</v>
          </cell>
        </row>
        <row r="37">
          <cell r="C37">
            <v>14607726.697000001</v>
          </cell>
          <cell r="D37">
            <v>5054399.6330000004</v>
          </cell>
          <cell r="E37">
            <v>23435.919999999998</v>
          </cell>
          <cell r="F37">
            <v>1201</v>
          </cell>
        </row>
        <row r="38">
          <cell r="C38">
            <v>13647797.634000001</v>
          </cell>
          <cell r="D38">
            <v>4786734.046000001</v>
          </cell>
          <cell r="E38">
            <v>19248.11</v>
          </cell>
          <cell r="F38">
            <v>-63</v>
          </cell>
        </row>
        <row r="39">
          <cell r="C39">
            <v>14439208.901999999</v>
          </cell>
          <cell r="D39">
            <v>5040261.9380000001</v>
          </cell>
          <cell r="E39">
            <v>29836.18</v>
          </cell>
          <cell r="F39">
            <v>0</v>
          </cell>
        </row>
        <row r="40">
          <cell r="C40">
            <v>14981354.245000001</v>
          </cell>
          <cell r="D40">
            <v>5120935.5050000008</v>
          </cell>
          <cell r="E40">
            <v>26981.93</v>
          </cell>
          <cell r="F40">
            <v>0</v>
          </cell>
        </row>
        <row r="41">
          <cell r="C41">
            <v>14264227.177000001</v>
          </cell>
          <cell r="D41">
            <v>4790603.273</v>
          </cell>
          <cell r="E41">
            <v>15461.5</v>
          </cell>
          <cell r="F41">
            <v>0</v>
          </cell>
        </row>
        <row r="42">
          <cell r="C42">
            <v>13055498.008999998</v>
          </cell>
          <cell r="D42">
            <v>4664911.5209999988</v>
          </cell>
          <cell r="E42">
            <v>39985.64</v>
          </cell>
          <cell r="F42">
            <v>0</v>
          </cell>
        </row>
        <row r="43">
          <cell r="C43">
            <v>14075806.745999999</v>
          </cell>
          <cell r="D43">
            <v>4696786.2939999998</v>
          </cell>
          <cell r="E43">
            <v>25751.14</v>
          </cell>
          <cell r="F43">
            <v>1006</v>
          </cell>
        </row>
        <row r="44">
          <cell r="C44">
            <v>14627649.611000001</v>
          </cell>
          <cell r="D44">
            <v>4777197.6189999999</v>
          </cell>
          <cell r="E44">
            <v>39635.870000000003</v>
          </cell>
          <cell r="F44">
            <v>1000</v>
          </cell>
        </row>
        <row r="45">
          <cell r="C45">
            <v>14121260.946</v>
          </cell>
          <cell r="D45">
            <v>4891932.3739999998</v>
          </cell>
          <cell r="E45">
            <v>26401.5</v>
          </cell>
          <cell r="F45">
            <v>0</v>
          </cell>
        </row>
      </sheetData>
      <sheetData sheetId="1">
        <row r="14">
          <cell r="C14">
            <v>162821737.22999999</v>
          </cell>
          <cell r="D14">
            <v>1061505.42</v>
          </cell>
          <cell r="E14">
            <v>147782325.24000001</v>
          </cell>
          <cell r="F14">
            <v>13977906.569999995</v>
          </cell>
          <cell r="H14">
            <v>1048.9333333333334</v>
          </cell>
          <cell r="L14">
            <v>62</v>
          </cell>
          <cell r="M14">
            <v>17813897</v>
          </cell>
          <cell r="N14">
            <v>192525</v>
          </cell>
          <cell r="O14">
            <v>3161578.15</v>
          </cell>
          <cell r="Q14">
            <v>16</v>
          </cell>
          <cell r="R14">
            <v>319160</v>
          </cell>
          <cell r="T14">
            <v>3136555.5299999993</v>
          </cell>
          <cell r="U14">
            <v>-31513.029999999992</v>
          </cell>
          <cell r="W14">
            <v>17427131.689999994</v>
          </cell>
        </row>
        <row r="15">
          <cell r="C15">
            <v>160999817.47</v>
          </cell>
          <cell r="D15">
            <v>1078994.54</v>
          </cell>
          <cell r="E15">
            <v>146147319.37</v>
          </cell>
          <cell r="F15">
            <v>13773503.560000001</v>
          </cell>
          <cell r="H15">
            <v>1034</v>
          </cell>
          <cell r="L15">
            <v>62</v>
          </cell>
          <cell r="M15">
            <v>16236160</v>
          </cell>
          <cell r="N15">
            <v>189720</v>
          </cell>
          <cell r="O15">
            <v>3417854.4</v>
          </cell>
          <cell r="Q15">
            <v>16</v>
          </cell>
          <cell r="R15">
            <v>288886</v>
          </cell>
          <cell r="T15">
            <v>3376971.5400000005</v>
          </cell>
          <cell r="U15">
            <v>190512.22000000003</v>
          </cell>
          <cell r="W15">
            <v>17670756.18</v>
          </cell>
        </row>
        <row r="16">
          <cell r="C16">
            <v>155195456.03</v>
          </cell>
          <cell r="D16">
            <v>1050145.67</v>
          </cell>
          <cell r="E16">
            <v>141043610.86000001</v>
          </cell>
          <cell r="F16">
            <v>13101699.500000002</v>
          </cell>
          <cell r="H16">
            <v>1034</v>
          </cell>
          <cell r="L16">
            <v>62</v>
          </cell>
          <cell r="M16">
            <v>18068890</v>
          </cell>
          <cell r="N16">
            <v>184890</v>
          </cell>
          <cell r="O16">
            <v>4312106.63</v>
          </cell>
          <cell r="Q16">
            <v>16</v>
          </cell>
          <cell r="R16">
            <v>300280</v>
          </cell>
          <cell r="T16">
            <v>3131952.2399999998</v>
          </cell>
          <cell r="U16">
            <v>158362.14000000001</v>
          </cell>
          <cell r="W16">
            <v>17872448.270000003</v>
          </cell>
        </row>
        <row r="17">
          <cell r="C17">
            <v>159101177.03000006</v>
          </cell>
          <cell r="D17">
            <v>1046713.23</v>
          </cell>
          <cell r="E17">
            <v>144452641.33000001</v>
          </cell>
          <cell r="F17">
            <v>13601822.469999999</v>
          </cell>
          <cell r="H17">
            <v>1012</v>
          </cell>
          <cell r="L17">
            <v>62</v>
          </cell>
          <cell r="M17">
            <v>17193063</v>
          </cell>
          <cell r="N17">
            <v>197190</v>
          </cell>
          <cell r="O17">
            <v>3066329.69</v>
          </cell>
          <cell r="Q17">
            <v>16</v>
          </cell>
          <cell r="R17">
            <v>313112</v>
          </cell>
          <cell r="T17">
            <v>2355903.0200000014</v>
          </cell>
          <cell r="U17">
            <v>329697.26999999996</v>
          </cell>
          <cell r="W17">
            <v>17310961.429999996</v>
          </cell>
        </row>
        <row r="18">
          <cell r="C18">
            <v>164222131.85000002</v>
          </cell>
          <cell r="D18">
            <v>1010642.11</v>
          </cell>
          <cell r="E18">
            <v>148862338.78999999</v>
          </cell>
          <cell r="F18">
            <v>14349150.949999997</v>
          </cell>
          <cell r="H18">
            <v>1011.4193548387096</v>
          </cell>
          <cell r="L18">
            <v>62</v>
          </cell>
          <cell r="M18">
            <v>18086699</v>
          </cell>
          <cell r="N18">
            <v>203675</v>
          </cell>
          <cell r="O18">
            <v>3502283.2999999993</v>
          </cell>
          <cell r="Q18">
            <v>16</v>
          </cell>
          <cell r="R18">
            <v>314363</v>
          </cell>
          <cell r="T18">
            <v>2692389.77</v>
          </cell>
          <cell r="U18">
            <v>563492.5199999999</v>
          </cell>
          <cell r="W18">
            <v>18729289.769999996</v>
          </cell>
        </row>
        <row r="19">
          <cell r="C19">
            <v>151603441.30000001</v>
          </cell>
          <cell r="D19">
            <v>992758.05</v>
          </cell>
          <cell r="E19">
            <v>137962025.09</v>
          </cell>
          <cell r="F19">
            <v>12648658.16</v>
          </cell>
          <cell r="H19">
            <v>1050.6666666666667</v>
          </cell>
          <cell r="L19">
            <v>62</v>
          </cell>
          <cell r="M19">
            <v>16077227</v>
          </cell>
          <cell r="N19">
            <v>183210</v>
          </cell>
          <cell r="O19">
            <v>2835396.19</v>
          </cell>
          <cell r="Q19">
            <v>16</v>
          </cell>
          <cell r="R19">
            <v>312559</v>
          </cell>
          <cell r="T19">
            <v>5693382.8700000001</v>
          </cell>
          <cell r="U19">
            <v>765035.3199999996</v>
          </cell>
          <cell r="W19">
            <v>16561648.67</v>
          </cell>
        </row>
        <row r="20">
          <cell r="C20">
            <v>154877617.46999997</v>
          </cell>
          <cell r="D20">
            <v>1006276.86</v>
          </cell>
          <cell r="E20">
            <v>140515726.15000001</v>
          </cell>
          <cell r="F20">
            <v>13355614.460000001</v>
          </cell>
          <cell r="H20">
            <v>1052</v>
          </cell>
          <cell r="L20">
            <v>62</v>
          </cell>
          <cell r="M20">
            <v>16253332</v>
          </cell>
          <cell r="N20">
            <v>170775</v>
          </cell>
          <cell r="O20">
            <v>3589936.05</v>
          </cell>
          <cell r="Q20">
            <v>16</v>
          </cell>
          <cell r="R20">
            <v>267568</v>
          </cell>
          <cell r="T20">
            <v>5292559.5300000012</v>
          </cell>
          <cell r="U20">
            <v>84658.07</v>
          </cell>
          <cell r="W20">
            <v>17297776.580000002</v>
          </cell>
        </row>
        <row r="21">
          <cell r="C21">
            <v>160253114.62999997</v>
          </cell>
          <cell r="D21">
            <v>1097180.8899999999</v>
          </cell>
          <cell r="E21">
            <v>145476310.34999999</v>
          </cell>
          <cell r="F21">
            <v>13679623.390000002</v>
          </cell>
          <cell r="H21">
            <v>1052</v>
          </cell>
          <cell r="L21">
            <v>62</v>
          </cell>
          <cell r="M21">
            <v>16162143</v>
          </cell>
          <cell r="N21">
            <v>182715</v>
          </cell>
          <cell r="O21">
            <v>3383727.7999999993</v>
          </cell>
          <cell r="Q21">
            <v>16</v>
          </cell>
          <cell r="R21">
            <v>299908</v>
          </cell>
          <cell r="T21">
            <v>5605020.1899999985</v>
          </cell>
          <cell r="U21">
            <v>423491.65</v>
          </cell>
          <cell r="W21">
            <v>17786750.84</v>
          </cell>
        </row>
        <row r="22">
          <cell r="C22">
            <v>154511176.35999998</v>
          </cell>
          <cell r="D22">
            <v>1017513.61</v>
          </cell>
          <cell r="E22">
            <v>140125165.19</v>
          </cell>
          <cell r="F22">
            <v>13368497.559999999</v>
          </cell>
          <cell r="H22">
            <v>1050.4516129032259</v>
          </cell>
          <cell r="L22">
            <v>62</v>
          </cell>
          <cell r="M22">
            <v>16758194</v>
          </cell>
          <cell r="N22">
            <v>200695</v>
          </cell>
          <cell r="O22">
            <v>3145071.9399999995</v>
          </cell>
          <cell r="Q22">
            <v>16</v>
          </cell>
          <cell r="R22">
            <v>308740</v>
          </cell>
          <cell r="T22">
            <v>6131350.9400000013</v>
          </cell>
          <cell r="U22">
            <v>-254152.20999999988</v>
          </cell>
          <cell r="W22">
            <v>16568157.290000001</v>
          </cell>
        </row>
        <row r="23">
          <cell r="C23">
            <v>161516173.63</v>
          </cell>
          <cell r="D23">
            <v>1078177.52</v>
          </cell>
          <cell r="E23">
            <v>146832295.94</v>
          </cell>
          <cell r="F23">
            <v>13605700.169999996</v>
          </cell>
          <cell r="H23">
            <v>1051.741935483871</v>
          </cell>
          <cell r="L23">
            <v>62</v>
          </cell>
          <cell r="M23">
            <v>17086365</v>
          </cell>
          <cell r="N23">
            <v>169805</v>
          </cell>
          <cell r="O23">
            <v>3837357.26</v>
          </cell>
          <cell r="Q23">
            <v>16</v>
          </cell>
          <cell r="R23">
            <v>359410</v>
          </cell>
          <cell r="T23">
            <v>3877723.209999999</v>
          </cell>
          <cell r="U23">
            <v>389544.0799999999</v>
          </cell>
          <cell r="W23">
            <v>18192011.509999994</v>
          </cell>
        </row>
        <row r="24">
          <cell r="C24">
            <v>151293126.31999999</v>
          </cell>
          <cell r="D24">
            <v>1061191.3799999999</v>
          </cell>
          <cell r="E24">
            <v>137419576.97</v>
          </cell>
          <cell r="F24">
            <v>12812357.970000003</v>
          </cell>
          <cell r="H24">
            <v>1052</v>
          </cell>
          <cell r="L24">
            <v>62</v>
          </cell>
          <cell r="M24">
            <v>15584333</v>
          </cell>
          <cell r="N24">
            <v>187230</v>
          </cell>
          <cell r="O24">
            <v>3494843.5</v>
          </cell>
          <cell r="Q24">
            <v>16</v>
          </cell>
          <cell r="R24">
            <v>316123</v>
          </cell>
          <cell r="T24">
            <v>2194839.2600000002</v>
          </cell>
          <cell r="U24">
            <v>-211527.00000000003</v>
          </cell>
          <cell r="W24">
            <v>16411797.470000003</v>
          </cell>
        </row>
        <row r="25">
          <cell r="C25">
            <v>175563976.25999999</v>
          </cell>
          <cell r="D25">
            <v>1264139.81</v>
          </cell>
          <cell r="E25">
            <v>159103076.58000001</v>
          </cell>
          <cell r="F25">
            <v>15196759.869999995</v>
          </cell>
          <cell r="H25">
            <v>1052</v>
          </cell>
          <cell r="L25">
            <v>62</v>
          </cell>
          <cell r="M25">
            <v>17723893</v>
          </cell>
          <cell r="N25">
            <v>201280</v>
          </cell>
          <cell r="O25">
            <v>3871802.75</v>
          </cell>
          <cell r="Q25">
            <v>16</v>
          </cell>
          <cell r="R25">
            <v>349622</v>
          </cell>
          <cell r="T25">
            <v>2914260.8199999994</v>
          </cell>
          <cell r="U25">
            <v>191877.92000000004</v>
          </cell>
          <cell r="W25">
            <v>19610062.539999999</v>
          </cell>
        </row>
        <row r="26">
          <cell r="H26">
            <v>1041.6602740000001</v>
          </cell>
          <cell r="L26">
            <v>62</v>
          </cell>
          <cell r="Q26">
            <v>16</v>
          </cell>
        </row>
        <row r="36">
          <cell r="C36">
            <v>12888837.206999995</v>
          </cell>
          <cell r="D36">
            <v>4538294.4829999981</v>
          </cell>
          <cell r="E36">
            <v>19367.57</v>
          </cell>
          <cell r="F36">
            <v>0</v>
          </cell>
        </row>
        <row r="37">
          <cell r="C37">
            <v>13148979.850000001</v>
          </cell>
          <cell r="D37">
            <v>4521776.33</v>
          </cell>
          <cell r="E37">
            <v>24254.34</v>
          </cell>
          <cell r="F37">
            <v>0</v>
          </cell>
        </row>
        <row r="38">
          <cell r="C38">
            <v>13464863.543000001</v>
          </cell>
          <cell r="D38">
            <v>4407584.7270000009</v>
          </cell>
          <cell r="E38">
            <v>17886.269999999997</v>
          </cell>
          <cell r="F38">
            <v>0</v>
          </cell>
        </row>
        <row r="39">
          <cell r="C39">
            <v>12859500.792999998</v>
          </cell>
          <cell r="D39">
            <v>4451460.6369999992</v>
          </cell>
          <cell r="E39">
            <v>25651.15</v>
          </cell>
          <cell r="F39">
            <v>0</v>
          </cell>
        </row>
        <row r="40">
          <cell r="C40">
            <v>13986530.602999996</v>
          </cell>
          <cell r="D40">
            <v>4742759.1669999994</v>
          </cell>
          <cell r="E40">
            <v>21593.38</v>
          </cell>
          <cell r="F40">
            <v>0</v>
          </cell>
        </row>
        <row r="41">
          <cell r="C41">
            <v>12375752.171</v>
          </cell>
          <cell r="D41">
            <v>4185896.4989999998</v>
          </cell>
          <cell r="E41">
            <v>20400.68</v>
          </cell>
          <cell r="F41">
            <v>1000</v>
          </cell>
        </row>
        <row r="42">
          <cell r="C42">
            <v>12896876.029999999</v>
          </cell>
          <cell r="D42">
            <v>4400900.55</v>
          </cell>
          <cell r="E42">
            <v>24086.89</v>
          </cell>
          <cell r="F42">
            <v>1000</v>
          </cell>
        </row>
        <row r="43">
          <cell r="C43">
            <v>13272151.078000002</v>
          </cell>
          <cell r="D43">
            <v>4514599.7620000001</v>
          </cell>
          <cell r="E43">
            <v>31856.53</v>
          </cell>
          <cell r="F43">
            <v>9151</v>
          </cell>
        </row>
        <row r="44">
          <cell r="C44">
            <v>12237642.048999997</v>
          </cell>
          <cell r="D44">
            <v>4330515.2409999995</v>
          </cell>
          <cell r="E44">
            <v>43957.919999999998</v>
          </cell>
          <cell r="F44">
            <v>50000</v>
          </cell>
        </row>
        <row r="45">
          <cell r="C45">
            <v>13651670.324999997</v>
          </cell>
          <cell r="D45">
            <v>4540341.1849999987</v>
          </cell>
          <cell r="E45">
            <v>30530.33</v>
          </cell>
          <cell r="F45">
            <v>0</v>
          </cell>
        </row>
        <row r="46">
          <cell r="C46">
            <v>12208146.129000003</v>
          </cell>
          <cell r="D46">
            <v>4203651.3410000009</v>
          </cell>
          <cell r="E46">
            <v>48277.81</v>
          </cell>
          <cell r="F46">
            <v>0</v>
          </cell>
        </row>
        <row r="47">
          <cell r="C47">
            <v>14609704.311999995</v>
          </cell>
          <cell r="D47">
            <v>5000358.2279999983</v>
          </cell>
          <cell r="E47">
            <v>13863.83</v>
          </cell>
          <cell r="F47">
            <v>0</v>
          </cell>
        </row>
      </sheetData>
      <sheetData sheetId="2">
        <row r="14">
          <cell r="C14">
            <v>150552146.62000003</v>
          </cell>
          <cell r="D14">
            <v>941928.7</v>
          </cell>
          <cell r="E14">
            <v>136749830.88999999</v>
          </cell>
          <cell r="F14">
            <v>12860387.029999997</v>
          </cell>
          <cell r="G14"/>
          <cell r="H14">
            <v>1050</v>
          </cell>
          <cell r="L14">
            <v>67</v>
          </cell>
          <cell r="M14">
            <v>16844131</v>
          </cell>
          <cell r="N14">
            <v>188180</v>
          </cell>
          <cell r="O14">
            <v>3503603.78</v>
          </cell>
          <cell r="Q14">
            <v>16</v>
          </cell>
          <cell r="R14">
            <v>426886</v>
          </cell>
          <cell r="T14">
            <v>2310036.23</v>
          </cell>
          <cell r="U14">
            <v>201243.71</v>
          </cell>
        </row>
        <row r="15">
          <cell r="C15">
            <v>146618989.81</v>
          </cell>
          <cell r="D15">
            <v>1029787.12</v>
          </cell>
          <cell r="E15">
            <v>133033841.53</v>
          </cell>
          <cell r="F15">
            <v>12555361.159999998</v>
          </cell>
          <cell r="G15"/>
          <cell r="H15">
            <v>1050</v>
          </cell>
          <cell r="L15">
            <v>65</v>
          </cell>
          <cell r="M15">
            <v>16160595</v>
          </cell>
          <cell r="N15">
            <v>177415</v>
          </cell>
          <cell r="O15">
            <v>4145395.51</v>
          </cell>
          <cell r="Q15">
            <v>16</v>
          </cell>
          <cell r="R15">
            <v>296339</v>
          </cell>
          <cell r="T15">
            <v>2391829.2199999997</v>
          </cell>
          <cell r="U15">
            <v>244234.21999999997</v>
          </cell>
        </row>
        <row r="16">
          <cell r="C16">
            <v>150548086.21999997</v>
          </cell>
          <cell r="D16">
            <v>952869.31</v>
          </cell>
          <cell r="E16">
            <v>136780173.25999999</v>
          </cell>
          <cell r="F16">
            <v>12815043.649999999</v>
          </cell>
          <cell r="G16"/>
          <cell r="H16">
            <v>1050</v>
          </cell>
          <cell r="L16">
            <v>62</v>
          </cell>
          <cell r="M16">
            <v>17274275</v>
          </cell>
          <cell r="N16">
            <v>152665</v>
          </cell>
          <cell r="O16">
            <v>3270964.51</v>
          </cell>
          <cell r="Q16">
            <v>16</v>
          </cell>
          <cell r="R16">
            <v>305570</v>
          </cell>
          <cell r="T16">
            <v>2305221.5999999996</v>
          </cell>
          <cell r="U16">
            <v>75341.580000000045</v>
          </cell>
        </row>
        <row r="17">
          <cell r="C17">
            <v>161291687.26999998</v>
          </cell>
          <cell r="D17">
            <v>904104.27</v>
          </cell>
          <cell r="E17">
            <v>146750406.61000001</v>
          </cell>
          <cell r="F17">
            <v>13637176.390000001</v>
          </cell>
          <cell r="G17"/>
          <cell r="H17">
            <v>1050</v>
          </cell>
          <cell r="L17">
            <v>62</v>
          </cell>
          <cell r="M17">
            <v>19163685</v>
          </cell>
          <cell r="N17">
            <v>129325</v>
          </cell>
          <cell r="O17">
            <v>2931857.28</v>
          </cell>
          <cell r="Q17">
            <v>16</v>
          </cell>
          <cell r="R17">
            <v>346080</v>
          </cell>
          <cell r="T17">
            <v>2528532.0300000003</v>
          </cell>
          <cell r="U17">
            <v>338052.93</v>
          </cell>
        </row>
        <row r="18">
          <cell r="C18">
            <v>161386859.53000003</v>
          </cell>
          <cell r="D18">
            <v>914481.75</v>
          </cell>
          <cell r="E18">
            <v>146789591.72999999</v>
          </cell>
          <cell r="F18">
            <v>13682786.049999997</v>
          </cell>
          <cell r="G18"/>
          <cell r="H18">
            <v>1050</v>
          </cell>
          <cell r="L18">
            <v>62</v>
          </cell>
          <cell r="M18">
            <v>18657285</v>
          </cell>
          <cell r="N18">
            <v>145720</v>
          </cell>
          <cell r="O18">
            <v>3415880.19</v>
          </cell>
          <cell r="Q18">
            <v>16</v>
          </cell>
          <cell r="R18">
            <v>323309</v>
          </cell>
          <cell r="T18">
            <v>2891310.8299999996</v>
          </cell>
          <cell r="U18">
            <v>221148.6200000002</v>
          </cell>
        </row>
        <row r="19">
          <cell r="C19">
            <v>150054657.63999999</v>
          </cell>
          <cell r="D19">
            <v>900349.52</v>
          </cell>
          <cell r="E19">
            <v>136540670.09</v>
          </cell>
          <cell r="F19">
            <v>12613638.029999996</v>
          </cell>
          <cell r="G19"/>
          <cell r="H19">
            <v>1050</v>
          </cell>
          <cell r="L19">
            <v>62</v>
          </cell>
          <cell r="M19">
            <v>16590381</v>
          </cell>
          <cell r="N19">
            <v>123455</v>
          </cell>
          <cell r="O19">
            <v>3404924.0399999991</v>
          </cell>
          <cell r="Q19">
            <v>16</v>
          </cell>
          <cell r="R19">
            <v>309677</v>
          </cell>
          <cell r="T19">
            <v>3653223.3400000008</v>
          </cell>
          <cell r="U19">
            <v>541294.42000000004</v>
          </cell>
        </row>
        <row r="20">
          <cell r="C20">
            <v>148238839.27999997</v>
          </cell>
          <cell r="D20">
            <v>902488.93</v>
          </cell>
          <cell r="E20">
            <v>134544018.34999999</v>
          </cell>
          <cell r="F20">
            <v>12792331.999999996</v>
          </cell>
          <cell r="G20"/>
          <cell r="H20">
            <v>1050</v>
          </cell>
          <cell r="L20">
            <v>62</v>
          </cell>
          <cell r="M20">
            <v>17165032</v>
          </cell>
          <cell r="N20">
            <v>197290</v>
          </cell>
          <cell r="O20">
            <v>4077355.4800000004</v>
          </cell>
          <cell r="Q20">
            <v>16</v>
          </cell>
          <cell r="R20">
            <v>303736</v>
          </cell>
          <cell r="T20">
            <v>4480865.0299999993</v>
          </cell>
          <cell r="U20">
            <v>340972.81999999995</v>
          </cell>
        </row>
        <row r="21">
          <cell r="C21">
            <v>142608435.75999999</v>
          </cell>
          <cell r="D21">
            <v>877557.6</v>
          </cell>
          <cell r="E21">
            <v>130088648.04000001</v>
          </cell>
          <cell r="F21">
            <v>11642230.119999999</v>
          </cell>
          <cell r="G21"/>
          <cell r="H21">
            <v>1050</v>
          </cell>
          <cell r="L21">
            <v>62</v>
          </cell>
          <cell r="M21">
            <v>16882008</v>
          </cell>
          <cell r="N21">
            <v>162735</v>
          </cell>
          <cell r="O21">
            <v>4687164.1099999994</v>
          </cell>
          <cell r="Q21">
            <v>16</v>
          </cell>
          <cell r="R21">
            <v>313529</v>
          </cell>
          <cell r="T21">
            <v>5955507.1499999985</v>
          </cell>
          <cell r="U21">
            <v>194635.36000000004</v>
          </cell>
        </row>
        <row r="22">
          <cell r="C22">
            <v>154945929.59999999</v>
          </cell>
          <cell r="D22">
            <v>1014077.61</v>
          </cell>
          <cell r="E22">
            <v>141204814.47</v>
          </cell>
          <cell r="F22">
            <v>12727037.52</v>
          </cell>
          <cell r="G22"/>
          <cell r="H22">
            <v>1050</v>
          </cell>
          <cell r="L22">
            <v>62</v>
          </cell>
          <cell r="M22">
            <v>17029945</v>
          </cell>
          <cell r="N22">
            <v>203560</v>
          </cell>
          <cell r="O22">
            <v>3825158.1500000004</v>
          </cell>
          <cell r="Q22">
            <v>16</v>
          </cell>
          <cell r="R22">
            <v>354203</v>
          </cell>
          <cell r="T22">
            <v>5082145.419999999</v>
          </cell>
          <cell r="U22">
            <v>628296.53</v>
          </cell>
        </row>
        <row r="23">
          <cell r="C23">
            <v>145291797.63000003</v>
          </cell>
          <cell r="D23">
            <v>932755.39</v>
          </cell>
          <cell r="E23">
            <v>132328736.5</v>
          </cell>
          <cell r="F23">
            <v>12030305.740000002</v>
          </cell>
          <cell r="G23"/>
          <cell r="H23">
            <v>1050</v>
          </cell>
          <cell r="L23">
            <v>62</v>
          </cell>
          <cell r="M23">
            <v>16154589</v>
          </cell>
          <cell r="N23">
            <v>197525</v>
          </cell>
          <cell r="O23">
            <v>3061404.9999999995</v>
          </cell>
          <cell r="Q23">
            <v>16</v>
          </cell>
          <cell r="R23">
            <v>327960</v>
          </cell>
          <cell r="T23">
            <v>5316659.4700000007</v>
          </cell>
          <cell r="U23">
            <v>237360.70000000004</v>
          </cell>
        </row>
        <row r="24">
          <cell r="C24">
            <v>155487510.10000002</v>
          </cell>
          <cell r="D24">
            <v>987894.2</v>
          </cell>
          <cell r="E24">
            <v>140812530.91999999</v>
          </cell>
          <cell r="F24">
            <v>13687084.979999995</v>
          </cell>
          <cell r="G24"/>
          <cell r="H24">
            <v>1050</v>
          </cell>
          <cell r="L24">
            <v>62</v>
          </cell>
          <cell r="M24">
            <v>16965252</v>
          </cell>
          <cell r="N24">
            <v>194525</v>
          </cell>
          <cell r="O24">
            <v>2403022.46</v>
          </cell>
          <cell r="Q24">
            <v>16</v>
          </cell>
          <cell r="R24">
            <v>333691</v>
          </cell>
          <cell r="T24">
            <v>2880041.36</v>
          </cell>
          <cell r="U24">
            <v>-7843.7499999999563</v>
          </cell>
        </row>
        <row r="25">
          <cell r="C25">
            <v>164827806.76000002</v>
          </cell>
          <cell r="D25">
            <v>1019095.1</v>
          </cell>
          <cell r="E25">
            <v>149759922.31999999</v>
          </cell>
          <cell r="F25">
            <v>14048789.339999996</v>
          </cell>
          <cell r="G25"/>
          <cell r="H25">
            <v>1050</v>
          </cell>
          <cell r="L25">
            <v>62</v>
          </cell>
          <cell r="M25">
            <v>18958728</v>
          </cell>
          <cell r="N25">
            <v>184385</v>
          </cell>
          <cell r="O25">
            <v>3716699.5200000005</v>
          </cell>
          <cell r="Q25">
            <v>16</v>
          </cell>
          <cell r="R25">
            <v>337877</v>
          </cell>
          <cell r="T25">
            <v>2777697.91</v>
          </cell>
          <cell r="U25">
            <v>370716.56000000006</v>
          </cell>
        </row>
        <row r="26">
          <cell r="H26">
            <v>1050</v>
          </cell>
          <cell r="L26">
            <v>62.666666666666664</v>
          </cell>
          <cell r="Q26">
            <v>16</v>
          </cell>
        </row>
        <row r="36">
          <cell r="C36">
            <v>12720831.061999999</v>
          </cell>
          <cell r="D36">
            <v>4271289.4579999996</v>
          </cell>
          <cell r="E36">
            <v>17786.599999999999</v>
          </cell>
          <cell r="F36">
            <v>0</v>
          </cell>
        </row>
        <row r="37">
          <cell r="C37">
            <v>13006124.669</v>
          </cell>
          <cell r="D37">
            <v>4235205.220999999</v>
          </cell>
          <cell r="E37">
            <v>24156.759999999995</v>
          </cell>
          <cell r="F37">
            <v>-3635</v>
          </cell>
        </row>
        <row r="38">
          <cell r="C38">
            <v>12257219.035999998</v>
          </cell>
          <cell r="D38">
            <v>4209700.703999999</v>
          </cell>
          <cell r="E38">
            <v>17513.75</v>
          </cell>
          <cell r="F38">
            <v>14000</v>
          </cell>
        </row>
        <row r="39">
          <cell r="C39">
            <v>12800414.662</v>
          </cell>
          <cell r="D39">
            <v>4452751.9380000001</v>
          </cell>
          <cell r="E39">
            <v>19323.84</v>
          </cell>
          <cell r="F39">
            <v>0</v>
          </cell>
        </row>
        <row r="40">
          <cell r="C40">
            <v>13142254.263999999</v>
          </cell>
          <cell r="D40">
            <v>4500869.595999999</v>
          </cell>
          <cell r="E40">
            <v>22610.75</v>
          </cell>
          <cell r="F40">
            <v>0</v>
          </cell>
        </row>
        <row r="41">
          <cell r="C41">
            <v>12659852.534999995</v>
          </cell>
          <cell r="D41">
            <v>4209680.9549999982</v>
          </cell>
          <cell r="E41">
            <v>45906.34</v>
          </cell>
          <cell r="F41">
            <v>0</v>
          </cell>
        </row>
        <row r="42">
          <cell r="C42">
            <v>13204490.269999998</v>
          </cell>
          <cell r="D42">
            <v>4309906.0299999984</v>
          </cell>
          <cell r="E42">
            <v>24261.03</v>
          </cell>
          <cell r="F42">
            <v>0</v>
          </cell>
        </row>
        <row r="43">
          <cell r="C43">
            <v>12825356.706999999</v>
          </cell>
          <cell r="D43">
            <v>4012201.8829999999</v>
          </cell>
          <cell r="E43">
            <v>30474.699999999997</v>
          </cell>
          <cell r="F43">
            <v>0</v>
          </cell>
        </row>
        <row r="44">
          <cell r="C44">
            <v>13235818.175999999</v>
          </cell>
          <cell r="D44">
            <v>4298877.0239999993</v>
          </cell>
          <cell r="E44">
            <v>23155.840000000004</v>
          </cell>
          <cell r="F44">
            <v>0</v>
          </cell>
        </row>
        <row r="45">
          <cell r="C45">
            <v>11685267.148000002</v>
          </cell>
          <cell r="D45">
            <v>3971764.2920000004</v>
          </cell>
          <cell r="E45">
            <v>29602.319999999996</v>
          </cell>
          <cell r="F45">
            <v>20</v>
          </cell>
        </row>
        <row r="46">
          <cell r="C46">
            <v>12036942.224999996</v>
          </cell>
          <cell r="D46">
            <v>4379012.464999998</v>
          </cell>
          <cell r="E46">
            <v>26496.6</v>
          </cell>
          <cell r="F46">
            <v>21000</v>
          </cell>
        </row>
        <row r="47">
          <cell r="C47">
            <v>13816916.309999997</v>
          </cell>
          <cell r="D47">
            <v>4657166.1099999985</v>
          </cell>
          <cell r="E47">
            <v>19352.64</v>
          </cell>
          <cell r="F47">
            <v>10000</v>
          </cell>
        </row>
      </sheetData>
      <sheetData sheetId="3"/>
      <sheetData sheetId="4"/>
      <sheetData sheetId="5">
        <row r="19">
          <cell r="C19">
            <v>66416267.659999996</v>
          </cell>
          <cell r="D19">
            <v>51924.59</v>
          </cell>
          <cell r="E19">
            <v>60142435.920000002</v>
          </cell>
          <cell r="F19">
            <v>6221907.1500000004</v>
          </cell>
          <cell r="H19">
            <v>690.86</v>
          </cell>
          <cell r="L19">
            <v>53</v>
          </cell>
          <cell r="M19">
            <v>5570014</v>
          </cell>
          <cell r="N19">
            <v>9375</v>
          </cell>
          <cell r="O19">
            <v>931170.33</v>
          </cell>
          <cell r="Q19">
            <v>0</v>
          </cell>
          <cell r="R19">
            <v>0</v>
          </cell>
          <cell r="T19">
            <v>623586.81000000006</v>
          </cell>
          <cell r="V19">
            <v>7776664.290000001</v>
          </cell>
        </row>
        <row r="20">
          <cell r="C20">
            <v>87073520.140000001</v>
          </cell>
          <cell r="D20">
            <v>261174.74</v>
          </cell>
          <cell r="E20">
            <v>79024024.739999995</v>
          </cell>
          <cell r="F20">
            <v>7788320.6600000001</v>
          </cell>
          <cell r="H20">
            <v>732.54</v>
          </cell>
          <cell r="L20">
            <v>63.25</v>
          </cell>
          <cell r="M20">
            <v>12164079</v>
          </cell>
          <cell r="N20">
            <v>43750</v>
          </cell>
          <cell r="O20">
            <v>2106398.73</v>
          </cell>
          <cell r="Q20">
            <v>0</v>
          </cell>
          <cell r="R20">
            <v>0</v>
          </cell>
          <cell r="T20">
            <v>1074630.6599999999</v>
          </cell>
          <cell r="V20">
            <v>10969350.050000001</v>
          </cell>
        </row>
        <row r="21">
          <cell r="C21">
            <v>73167906.920000002</v>
          </cell>
          <cell r="D21">
            <v>115974.07</v>
          </cell>
          <cell r="E21">
            <v>66296786.060000002</v>
          </cell>
          <cell r="F21">
            <v>6755146.79</v>
          </cell>
          <cell r="H21">
            <v>805</v>
          </cell>
          <cell r="L21">
            <v>58</v>
          </cell>
          <cell r="M21">
            <v>10106852</v>
          </cell>
          <cell r="N21">
            <v>30650</v>
          </cell>
          <cell r="O21">
            <v>2302542.4500000002</v>
          </cell>
          <cell r="Q21">
            <v>0</v>
          </cell>
          <cell r="R21">
            <v>0</v>
          </cell>
          <cell r="T21">
            <v>1048553.38</v>
          </cell>
          <cell r="V21">
            <v>10106242.620000001</v>
          </cell>
        </row>
        <row r="22">
          <cell r="C22">
            <v>68530362.329999998</v>
          </cell>
          <cell r="D22">
            <v>151944.42000000001</v>
          </cell>
          <cell r="E22">
            <v>62214755.579999998</v>
          </cell>
          <cell r="F22">
            <v>6163662.3300000001</v>
          </cell>
          <cell r="H22">
            <v>817.67</v>
          </cell>
          <cell r="L22">
            <v>58</v>
          </cell>
          <cell r="M22">
            <v>8748100</v>
          </cell>
          <cell r="N22">
            <v>37225</v>
          </cell>
          <cell r="O22">
            <v>2003749</v>
          </cell>
          <cell r="Q22">
            <v>0</v>
          </cell>
          <cell r="R22">
            <v>0</v>
          </cell>
          <cell r="T22">
            <v>949804.41</v>
          </cell>
          <cell r="V22">
            <v>9117215.7400000002</v>
          </cell>
        </row>
        <row r="23">
          <cell r="C23">
            <v>87936825.200000003</v>
          </cell>
          <cell r="D23">
            <v>150640.35999999999</v>
          </cell>
          <cell r="E23">
            <v>79845206.930000007</v>
          </cell>
          <cell r="F23">
            <v>7940977.9100000001</v>
          </cell>
          <cell r="H23">
            <v>820</v>
          </cell>
          <cell r="L23">
            <v>58</v>
          </cell>
          <cell r="M23">
            <v>10894446</v>
          </cell>
          <cell r="N23">
            <v>42345</v>
          </cell>
          <cell r="O23">
            <v>2053911.85</v>
          </cell>
          <cell r="Q23">
            <v>0</v>
          </cell>
          <cell r="R23">
            <v>0</v>
          </cell>
          <cell r="T23">
            <v>1429139.84</v>
          </cell>
          <cell r="V23">
            <v>11424029.6</v>
          </cell>
        </row>
        <row r="24">
          <cell r="C24">
            <v>86693699.959999993</v>
          </cell>
          <cell r="D24">
            <v>176055.49</v>
          </cell>
          <cell r="E24">
            <v>78780612.049999997</v>
          </cell>
          <cell r="F24">
            <v>7737032.4199999999</v>
          </cell>
          <cell r="H24">
            <v>821.42</v>
          </cell>
          <cell r="L24">
            <v>58.14</v>
          </cell>
          <cell r="M24">
            <v>10090322</v>
          </cell>
          <cell r="N24">
            <v>44400</v>
          </cell>
          <cell r="O24">
            <v>2089666.55</v>
          </cell>
          <cell r="Q24">
            <v>0</v>
          </cell>
          <cell r="R24">
            <v>0</v>
          </cell>
          <cell r="T24">
            <v>463663.21</v>
          </cell>
          <cell r="V24">
            <v>10290362.180000002</v>
          </cell>
        </row>
        <row r="25">
          <cell r="C25">
            <v>117109162.52</v>
          </cell>
          <cell r="D25">
            <v>274835.65999999997</v>
          </cell>
          <cell r="E25">
            <v>106435354.3</v>
          </cell>
          <cell r="F25">
            <v>10398972.560000001</v>
          </cell>
          <cell r="H25">
            <v>848.96</v>
          </cell>
          <cell r="L25">
            <v>59</v>
          </cell>
          <cell r="M25">
            <v>12629692</v>
          </cell>
          <cell r="N25">
            <v>48470</v>
          </cell>
          <cell r="O25">
            <v>2668565.5</v>
          </cell>
          <cell r="Q25">
            <v>0</v>
          </cell>
          <cell r="R25">
            <v>0</v>
          </cell>
          <cell r="T25">
            <v>821648.64</v>
          </cell>
          <cell r="V25">
            <v>13889186.700000001</v>
          </cell>
        </row>
        <row r="26">
          <cell r="H26">
            <v>794.86</v>
          </cell>
        </row>
        <row r="41">
          <cell r="C41">
            <v>4821330.358500001</v>
          </cell>
          <cell r="D41">
            <v>2955333.9315000004</v>
          </cell>
          <cell r="E41">
            <v>0</v>
          </cell>
          <cell r="F41">
            <v>0</v>
          </cell>
        </row>
        <row r="42">
          <cell r="C42">
            <v>7146502.8140000012</v>
          </cell>
          <cell r="D42">
            <v>3822847.2360000005</v>
          </cell>
          <cell r="E42">
            <v>3000</v>
          </cell>
          <cell r="F42">
            <v>11822</v>
          </cell>
        </row>
        <row r="43">
          <cell r="C43">
            <v>6731316.9814999998</v>
          </cell>
          <cell r="D43">
            <v>3374925.6385000004</v>
          </cell>
          <cell r="E43">
            <v>3675</v>
          </cell>
          <cell r="F43">
            <v>0</v>
          </cell>
        </row>
        <row r="44">
          <cell r="C44">
            <v>6048212.3505000006</v>
          </cell>
          <cell r="D44">
            <v>3069003.3895</v>
          </cell>
          <cell r="E44">
            <v>19035.52</v>
          </cell>
          <cell r="F44">
            <v>67939.73</v>
          </cell>
        </row>
        <row r="45">
          <cell r="C45">
            <v>7502284.3715000013</v>
          </cell>
          <cell r="D45">
            <v>3921745.2285000002</v>
          </cell>
          <cell r="E45">
            <v>5288.14</v>
          </cell>
          <cell r="F45">
            <v>0</v>
          </cell>
        </row>
        <row r="46">
          <cell r="C46">
            <v>6553364.6150000002</v>
          </cell>
          <cell r="D46">
            <v>3736997.5650000004</v>
          </cell>
          <cell r="E46">
            <v>28727.119999999999</v>
          </cell>
          <cell r="F46">
            <v>0</v>
          </cell>
        </row>
        <row r="47">
          <cell r="C47">
            <v>8860627.6340000015</v>
          </cell>
          <cell r="D47">
            <v>5028559.0660000006</v>
          </cell>
          <cell r="E47">
            <v>37687.46</v>
          </cell>
          <cell r="F47">
            <v>0</v>
          </cell>
        </row>
      </sheetData>
      <sheetData sheetId="6">
        <row r="14">
          <cell r="C14">
            <v>114316181</v>
          </cell>
          <cell r="D14">
            <v>911871.31</v>
          </cell>
          <cell r="E14">
            <v>103397512.26000001</v>
          </cell>
          <cell r="F14">
            <v>10006797.43</v>
          </cell>
          <cell r="H14">
            <v>1150</v>
          </cell>
          <cell r="L14">
            <v>67</v>
          </cell>
          <cell r="M14">
            <v>16776170</v>
          </cell>
          <cell r="N14">
            <v>224355</v>
          </cell>
          <cell r="O14">
            <v>3544335.59</v>
          </cell>
          <cell r="Q14">
            <v>16</v>
          </cell>
          <cell r="R14">
            <v>409991</v>
          </cell>
          <cell r="T14">
            <v>0</v>
          </cell>
          <cell r="V14">
            <v>13961124.02</v>
          </cell>
        </row>
        <row r="15">
          <cell r="C15">
            <v>117737417.45</v>
          </cell>
          <cell r="D15">
            <v>972531</v>
          </cell>
          <cell r="E15">
            <v>106533657.8</v>
          </cell>
          <cell r="F15">
            <v>10231228.65</v>
          </cell>
          <cell r="H15">
            <v>1150</v>
          </cell>
          <cell r="L15">
            <v>67</v>
          </cell>
          <cell r="M15">
            <v>17253622</v>
          </cell>
          <cell r="N15">
            <v>222075</v>
          </cell>
          <cell r="O15">
            <v>3086928.5</v>
          </cell>
          <cell r="Q15">
            <v>16</v>
          </cell>
          <cell r="R15">
            <v>416931</v>
          </cell>
          <cell r="T15">
            <v>0</v>
          </cell>
          <cell r="V15">
            <v>13735088.15</v>
          </cell>
        </row>
        <row r="16">
          <cell r="C16">
            <v>114941149.48999999</v>
          </cell>
          <cell r="D16">
            <v>823716.01</v>
          </cell>
          <cell r="E16">
            <v>104127564.59</v>
          </cell>
          <cell r="F16">
            <v>9989868.8900000006</v>
          </cell>
          <cell r="H16">
            <v>1150</v>
          </cell>
          <cell r="L16">
            <v>67</v>
          </cell>
          <cell r="M16">
            <v>16141491</v>
          </cell>
          <cell r="N16">
            <v>242595</v>
          </cell>
          <cell r="O16">
            <v>3555899.99</v>
          </cell>
          <cell r="Q16">
            <v>16</v>
          </cell>
          <cell r="R16">
            <v>372570</v>
          </cell>
          <cell r="T16">
            <v>0</v>
          </cell>
          <cell r="V16">
            <v>13918338.880000001</v>
          </cell>
        </row>
        <row r="17">
          <cell r="C17">
            <v>116745239.23999999</v>
          </cell>
          <cell r="D17">
            <v>916298.22</v>
          </cell>
          <cell r="E17">
            <v>105745754.73999999</v>
          </cell>
          <cell r="F17">
            <v>10083186.279999999</v>
          </cell>
          <cell r="H17">
            <v>1150</v>
          </cell>
          <cell r="L17">
            <v>67</v>
          </cell>
          <cell r="M17">
            <v>17276234</v>
          </cell>
          <cell r="N17">
            <v>267050</v>
          </cell>
          <cell r="O17">
            <v>3287653.38</v>
          </cell>
          <cell r="Q17">
            <v>16</v>
          </cell>
          <cell r="R17">
            <v>424424</v>
          </cell>
          <cell r="T17">
            <v>294248.94</v>
          </cell>
          <cell r="V17">
            <v>14089512.6</v>
          </cell>
        </row>
        <row r="18">
          <cell r="C18">
            <v>122385233.19</v>
          </cell>
          <cell r="D18">
            <v>879848.1</v>
          </cell>
          <cell r="E18">
            <v>110754946.91</v>
          </cell>
          <cell r="F18">
            <v>10750438.18</v>
          </cell>
          <cell r="H18">
            <v>1150</v>
          </cell>
          <cell r="L18">
            <v>67</v>
          </cell>
          <cell r="M18">
            <v>18324992</v>
          </cell>
          <cell r="N18">
            <v>276695</v>
          </cell>
          <cell r="O18">
            <v>3625125.43</v>
          </cell>
          <cell r="Q18">
            <v>16</v>
          </cell>
          <cell r="R18">
            <v>478098</v>
          </cell>
          <cell r="T18">
            <v>445291.13</v>
          </cell>
          <cell r="V18">
            <v>15298952.74</v>
          </cell>
        </row>
        <row r="19">
          <cell r="C19">
            <v>111073745.09</v>
          </cell>
          <cell r="D19">
            <v>815489.39</v>
          </cell>
          <cell r="E19">
            <v>100181849.31</v>
          </cell>
          <cell r="F19">
            <v>10076406.390000001</v>
          </cell>
          <cell r="H19">
            <v>1150</v>
          </cell>
          <cell r="L19">
            <v>67</v>
          </cell>
          <cell r="M19">
            <v>17814223</v>
          </cell>
          <cell r="N19">
            <v>227820</v>
          </cell>
          <cell r="O19">
            <v>3505842.09</v>
          </cell>
          <cell r="Q19">
            <v>16</v>
          </cell>
          <cell r="R19">
            <v>415339</v>
          </cell>
          <cell r="T19">
            <v>903891.74</v>
          </cell>
          <cell r="V19">
            <v>14901479.220000001</v>
          </cell>
        </row>
        <row r="20">
          <cell r="C20">
            <v>117313415.87</v>
          </cell>
          <cell r="D20">
            <v>890937.78</v>
          </cell>
          <cell r="E20">
            <v>106348801.77</v>
          </cell>
          <cell r="F20">
            <v>10073676.32</v>
          </cell>
          <cell r="H20">
            <v>1150</v>
          </cell>
          <cell r="L20">
            <v>67</v>
          </cell>
          <cell r="M20">
            <v>17989917</v>
          </cell>
          <cell r="N20">
            <v>238945</v>
          </cell>
          <cell r="O20">
            <v>3294579.9</v>
          </cell>
          <cell r="Q20">
            <v>16</v>
          </cell>
          <cell r="R20">
            <v>421025</v>
          </cell>
          <cell r="T20">
            <v>1001741.05</v>
          </cell>
          <cell r="V20">
            <v>14791022.270000001</v>
          </cell>
        </row>
        <row r="21">
          <cell r="C21">
            <v>120574372.91</v>
          </cell>
          <cell r="D21">
            <v>1067003.44</v>
          </cell>
          <cell r="E21">
            <v>109366218.09999999</v>
          </cell>
          <cell r="F21">
            <v>10141151.369999999</v>
          </cell>
          <cell r="H21">
            <v>1150</v>
          </cell>
          <cell r="L21">
            <v>67</v>
          </cell>
          <cell r="M21">
            <v>19154051</v>
          </cell>
          <cell r="N21">
            <v>274940</v>
          </cell>
          <cell r="O21">
            <v>3501930.77</v>
          </cell>
          <cell r="Q21">
            <v>16</v>
          </cell>
          <cell r="R21">
            <v>413725</v>
          </cell>
          <cell r="T21">
            <v>549229.61</v>
          </cell>
          <cell r="V21">
            <v>14606036.749999998</v>
          </cell>
        </row>
        <row r="22">
          <cell r="C22">
            <v>111833162.05</v>
          </cell>
          <cell r="D22">
            <v>992338.83</v>
          </cell>
          <cell r="E22">
            <v>101474928.94</v>
          </cell>
          <cell r="F22">
            <v>9365894.2799999993</v>
          </cell>
          <cell r="H22">
            <v>1150</v>
          </cell>
          <cell r="L22">
            <v>67</v>
          </cell>
          <cell r="M22">
            <v>18979533</v>
          </cell>
          <cell r="N22">
            <v>279325</v>
          </cell>
          <cell r="O22">
            <v>3572527.32</v>
          </cell>
          <cell r="Q22">
            <v>16</v>
          </cell>
          <cell r="R22">
            <v>421529</v>
          </cell>
          <cell r="T22">
            <v>311827.67</v>
          </cell>
          <cell r="V22">
            <v>13671778.27</v>
          </cell>
        </row>
        <row r="23">
          <cell r="C23">
            <v>129348199.06999999</v>
          </cell>
          <cell r="D23">
            <v>1365157.57</v>
          </cell>
          <cell r="E23">
            <v>117055827.83</v>
          </cell>
          <cell r="F23">
            <v>10927213.67</v>
          </cell>
          <cell r="H23">
            <v>1150</v>
          </cell>
          <cell r="L23">
            <v>67</v>
          </cell>
          <cell r="M23">
            <v>19287232</v>
          </cell>
          <cell r="N23">
            <v>307080</v>
          </cell>
          <cell r="O23">
            <v>3555385.7</v>
          </cell>
          <cell r="Q23">
            <v>16</v>
          </cell>
          <cell r="R23">
            <v>398776</v>
          </cell>
          <cell r="T23">
            <v>778996.55</v>
          </cell>
          <cell r="V23">
            <v>15660371.920000002</v>
          </cell>
        </row>
        <row r="24">
          <cell r="C24">
            <v>132149288.83</v>
          </cell>
          <cell r="D24">
            <v>1301893.81</v>
          </cell>
          <cell r="E24">
            <v>119937230.11</v>
          </cell>
          <cell r="F24">
            <v>10910164.91</v>
          </cell>
          <cell r="H24">
            <v>1150</v>
          </cell>
          <cell r="L24">
            <v>67</v>
          </cell>
          <cell r="M24">
            <v>19207860</v>
          </cell>
          <cell r="N24">
            <v>307180</v>
          </cell>
          <cell r="O24">
            <v>3992030.15</v>
          </cell>
          <cell r="Q24">
            <v>16</v>
          </cell>
          <cell r="R24">
            <v>419884</v>
          </cell>
          <cell r="T24">
            <v>-38801.5</v>
          </cell>
          <cell r="V24">
            <v>15283277.560000001</v>
          </cell>
        </row>
        <row r="25">
          <cell r="C25">
            <v>61539861.100000001</v>
          </cell>
          <cell r="D25">
            <v>562232.92000000004</v>
          </cell>
          <cell r="E25">
            <v>55946351.079999998</v>
          </cell>
          <cell r="F25">
            <v>5031277.0999999996</v>
          </cell>
          <cell r="H25">
            <v>1150</v>
          </cell>
          <cell r="L25">
            <v>67</v>
          </cell>
          <cell r="M25">
            <v>8728168</v>
          </cell>
          <cell r="N25">
            <v>110640</v>
          </cell>
          <cell r="O25">
            <v>1889755.04</v>
          </cell>
          <cell r="Q25">
            <v>16</v>
          </cell>
          <cell r="R25">
            <v>156512</v>
          </cell>
          <cell r="T25">
            <v>81882.570000000007</v>
          </cell>
          <cell r="V25">
            <v>7159426.71</v>
          </cell>
        </row>
        <row r="26">
          <cell r="H26">
            <v>1150</v>
          </cell>
          <cell r="L26">
            <v>67</v>
          </cell>
          <cell r="Q26">
            <v>16</v>
          </cell>
        </row>
        <row r="36">
          <cell r="C36">
            <v>9062632.5175000001</v>
          </cell>
          <cell r="D36">
            <v>4898491.5025000004</v>
          </cell>
          <cell r="E36">
            <v>8770.08</v>
          </cell>
          <cell r="F36">
            <v>0</v>
          </cell>
        </row>
        <row r="37">
          <cell r="C37">
            <v>8780649.307500001</v>
          </cell>
          <cell r="D37">
            <v>4954438.8425000003</v>
          </cell>
          <cell r="E37">
            <v>10031.17</v>
          </cell>
          <cell r="F37">
            <v>45000</v>
          </cell>
        </row>
        <row r="38">
          <cell r="C38">
            <v>9030050.8805</v>
          </cell>
          <cell r="D38">
            <v>4888287.9994999999</v>
          </cell>
          <cell r="E38">
            <v>7782.27</v>
          </cell>
          <cell r="F38">
            <v>0</v>
          </cell>
        </row>
        <row r="39">
          <cell r="C39">
            <v>9151446.1420000009</v>
          </cell>
          <cell r="D39">
            <v>4938066.4579999996</v>
          </cell>
          <cell r="E39">
            <v>6615.47</v>
          </cell>
          <cell r="F39">
            <v>0</v>
          </cell>
        </row>
        <row r="40">
          <cell r="C40">
            <v>10006404.103000002</v>
          </cell>
          <cell r="D40">
            <v>5292548.6370000001</v>
          </cell>
          <cell r="E40">
            <v>5422.35</v>
          </cell>
          <cell r="F40">
            <v>0</v>
          </cell>
        </row>
        <row r="41">
          <cell r="C41">
            <v>9884589.0615000017</v>
          </cell>
          <cell r="D41">
            <v>5016890.1584999999</v>
          </cell>
          <cell r="E41">
            <v>5191.8</v>
          </cell>
          <cell r="F41">
            <v>6.1</v>
          </cell>
        </row>
        <row r="42">
          <cell r="C42">
            <v>9786133.3310000002</v>
          </cell>
          <cell r="D42">
            <v>5004888.9390000002</v>
          </cell>
          <cell r="E42">
            <v>5174.21</v>
          </cell>
          <cell r="F42">
            <v>0</v>
          </cell>
        </row>
        <row r="43">
          <cell r="C43">
            <v>9596030.0954999998</v>
          </cell>
          <cell r="D43">
            <v>5010006.6544999992</v>
          </cell>
          <cell r="E43">
            <v>6176.02</v>
          </cell>
          <cell r="F43">
            <v>1000</v>
          </cell>
        </row>
        <row r="44">
          <cell r="C44">
            <v>9026537.4450000003</v>
          </cell>
          <cell r="D44">
            <v>4645240.8250000002</v>
          </cell>
          <cell r="E44">
            <v>4672.83</v>
          </cell>
          <cell r="F44">
            <v>-438.5</v>
          </cell>
        </row>
        <row r="45">
          <cell r="C45">
            <v>10269809.943500001</v>
          </cell>
          <cell r="D45">
            <v>5390561.9764999999</v>
          </cell>
          <cell r="E45">
            <v>80947.570000000007</v>
          </cell>
          <cell r="F45">
            <v>0</v>
          </cell>
        </row>
        <row r="46">
          <cell r="C46">
            <v>9936392.0855</v>
          </cell>
          <cell r="D46">
            <v>5346885.4744999995</v>
          </cell>
          <cell r="E46">
            <v>4549.49</v>
          </cell>
          <cell r="F46">
            <v>-101.55</v>
          </cell>
        </row>
        <row r="47">
          <cell r="C47">
            <v>4682537.0539999995</v>
          </cell>
          <cell r="D47">
            <v>2476889.656</v>
          </cell>
          <cell r="E47">
            <v>7753.8700000000008</v>
          </cell>
          <cell r="F47">
            <v>2666.55</v>
          </cell>
        </row>
      </sheetData>
      <sheetData sheetId="7">
        <row r="14">
          <cell r="C14">
            <v>107635481.02</v>
          </cell>
          <cell r="D14">
            <v>938511.48</v>
          </cell>
          <cell r="E14">
            <v>97668306.459999993</v>
          </cell>
          <cell r="F14">
            <v>9028663.0800000001</v>
          </cell>
          <cell r="H14">
            <v>1150</v>
          </cell>
          <cell r="L14">
            <v>67</v>
          </cell>
          <cell r="M14">
            <v>18456922.5</v>
          </cell>
          <cell r="N14">
            <v>197325</v>
          </cell>
          <cell r="O14">
            <v>3879524.52</v>
          </cell>
          <cell r="Q14">
            <v>16</v>
          </cell>
          <cell r="R14">
            <v>471336</v>
          </cell>
          <cell r="T14">
            <v>13379523.6</v>
          </cell>
        </row>
        <row r="15">
          <cell r="C15">
            <v>101147660.08</v>
          </cell>
          <cell r="D15">
            <v>769612.79</v>
          </cell>
          <cell r="E15">
            <v>91569054.269999996</v>
          </cell>
          <cell r="F15">
            <v>8808993.0199999996</v>
          </cell>
          <cell r="H15">
            <v>1150</v>
          </cell>
          <cell r="L15">
            <v>67</v>
          </cell>
          <cell r="M15">
            <v>15629781.050000001</v>
          </cell>
          <cell r="N15">
            <v>166060</v>
          </cell>
          <cell r="O15">
            <v>3916921.35</v>
          </cell>
          <cell r="Q15">
            <v>16</v>
          </cell>
          <cell r="R15">
            <v>441696.01</v>
          </cell>
          <cell r="T15">
            <v>13167610.379999999</v>
          </cell>
        </row>
        <row r="16">
          <cell r="C16">
            <v>99808207.739999995</v>
          </cell>
          <cell r="D16">
            <v>825383.58</v>
          </cell>
          <cell r="E16">
            <v>90384507.739999995</v>
          </cell>
          <cell r="F16">
            <v>8598316.4199999999</v>
          </cell>
          <cell r="H16">
            <v>1150</v>
          </cell>
          <cell r="L16">
            <v>67</v>
          </cell>
          <cell r="M16">
            <v>15916166.050000001</v>
          </cell>
          <cell r="N16">
            <v>140955</v>
          </cell>
          <cell r="O16">
            <v>3531949.6</v>
          </cell>
          <cell r="Q16">
            <v>16</v>
          </cell>
          <cell r="R16">
            <v>403133</v>
          </cell>
          <cell r="T16">
            <v>12533399.02</v>
          </cell>
        </row>
        <row r="17">
          <cell r="C17">
            <v>107583364.89</v>
          </cell>
          <cell r="D17">
            <v>792685.97</v>
          </cell>
          <cell r="E17">
            <v>97454760.560000002</v>
          </cell>
          <cell r="F17">
            <v>9335918.3599999994</v>
          </cell>
          <cell r="H17">
            <v>1150</v>
          </cell>
          <cell r="L17">
            <v>67</v>
          </cell>
          <cell r="M17">
            <v>17328152</v>
          </cell>
          <cell r="N17">
            <v>170645</v>
          </cell>
          <cell r="O17">
            <v>2828827.73</v>
          </cell>
          <cell r="Q17">
            <v>16</v>
          </cell>
          <cell r="R17">
            <v>482631</v>
          </cell>
          <cell r="T17">
            <v>12647377.09</v>
          </cell>
        </row>
        <row r="18">
          <cell r="C18">
            <v>114407036.15000001</v>
          </cell>
          <cell r="D18">
            <v>1048059.6</v>
          </cell>
          <cell r="E18">
            <v>103768757.09</v>
          </cell>
          <cell r="F18">
            <v>9590219.4600000009</v>
          </cell>
          <cell r="H18">
            <v>1150</v>
          </cell>
          <cell r="L18">
            <v>67</v>
          </cell>
          <cell r="M18">
            <v>18298487.5</v>
          </cell>
          <cell r="N18">
            <v>175445</v>
          </cell>
          <cell r="O18">
            <v>4337157</v>
          </cell>
          <cell r="Q18">
            <v>16</v>
          </cell>
          <cell r="R18">
            <v>485011</v>
          </cell>
          <cell r="T18">
            <v>14412387.460000001</v>
          </cell>
        </row>
        <row r="19">
          <cell r="C19">
            <v>101398730.81</v>
          </cell>
          <cell r="D19">
            <v>862790.95</v>
          </cell>
          <cell r="E19">
            <v>91724101.799999997</v>
          </cell>
          <cell r="F19">
            <v>8811838.0600000005</v>
          </cell>
          <cell r="H19">
            <v>1150</v>
          </cell>
          <cell r="L19">
            <v>67</v>
          </cell>
          <cell r="M19">
            <v>15997842.25</v>
          </cell>
          <cell r="N19">
            <v>181225</v>
          </cell>
          <cell r="O19">
            <v>3741060.63</v>
          </cell>
          <cell r="Q19">
            <v>16</v>
          </cell>
          <cell r="R19">
            <v>412824</v>
          </cell>
          <cell r="T19">
            <v>12965722.690000001</v>
          </cell>
        </row>
        <row r="20">
          <cell r="C20">
            <v>95834915.370000005</v>
          </cell>
          <cell r="D20">
            <v>849192.09</v>
          </cell>
          <cell r="E20">
            <v>86587194</v>
          </cell>
          <cell r="F20">
            <v>8398529.2799999993</v>
          </cell>
          <cell r="H20">
            <v>1150</v>
          </cell>
          <cell r="L20">
            <v>67</v>
          </cell>
          <cell r="M20">
            <v>17084443.199999999</v>
          </cell>
          <cell r="N20">
            <v>215190</v>
          </cell>
          <cell r="O20">
            <v>3373641.3</v>
          </cell>
          <cell r="Q20">
            <v>16</v>
          </cell>
          <cell r="R20">
            <v>423713</v>
          </cell>
          <cell r="T20">
            <v>12195883.579999998</v>
          </cell>
        </row>
        <row r="21">
          <cell r="C21">
            <v>94574834.219999999</v>
          </cell>
          <cell r="D21">
            <v>822896.24</v>
          </cell>
          <cell r="E21">
            <v>85367892.950000003</v>
          </cell>
          <cell r="F21">
            <v>8384045.0300000003</v>
          </cell>
          <cell r="H21">
            <v>1150</v>
          </cell>
          <cell r="L21">
            <v>67</v>
          </cell>
          <cell r="M21">
            <v>16551359.210000001</v>
          </cell>
          <cell r="N21">
            <v>210925</v>
          </cell>
          <cell r="O21">
            <v>3430357.55</v>
          </cell>
          <cell r="Q21">
            <v>16</v>
          </cell>
          <cell r="R21">
            <v>422151</v>
          </cell>
          <cell r="T21">
            <v>12236553.58</v>
          </cell>
        </row>
        <row r="22">
          <cell r="C22">
            <v>97728193.890000001</v>
          </cell>
          <cell r="D22">
            <v>670766.62</v>
          </cell>
          <cell r="E22">
            <v>88159161.620000005</v>
          </cell>
          <cell r="F22">
            <v>8898265.6500000004</v>
          </cell>
          <cell r="H22">
            <v>1150</v>
          </cell>
          <cell r="L22">
            <v>67</v>
          </cell>
          <cell r="M22">
            <v>16364608</v>
          </cell>
          <cell r="N22">
            <v>192455</v>
          </cell>
          <cell r="O22">
            <v>4059653.11</v>
          </cell>
          <cell r="Q22">
            <v>16</v>
          </cell>
          <cell r="R22">
            <v>476101</v>
          </cell>
          <cell r="T22">
            <v>13434019.76</v>
          </cell>
        </row>
        <row r="23">
          <cell r="C23">
            <v>90102955.290000007</v>
          </cell>
          <cell r="D23">
            <v>703772.83</v>
          </cell>
          <cell r="E23">
            <v>81676326.75</v>
          </cell>
          <cell r="F23">
            <v>7722855.71</v>
          </cell>
          <cell r="H23">
            <v>1150</v>
          </cell>
          <cell r="L23">
            <v>67</v>
          </cell>
          <cell r="M23">
            <v>14594606</v>
          </cell>
          <cell r="N23">
            <v>169835</v>
          </cell>
          <cell r="O23">
            <v>3195251.56</v>
          </cell>
          <cell r="Q23">
            <v>16</v>
          </cell>
          <cell r="R23">
            <v>436756</v>
          </cell>
          <cell r="T23">
            <v>11354863.27</v>
          </cell>
        </row>
        <row r="24">
          <cell r="C24">
            <v>100154341.56999999</v>
          </cell>
          <cell r="D24">
            <v>776958.38</v>
          </cell>
          <cell r="E24">
            <v>90690822.010000005</v>
          </cell>
          <cell r="F24">
            <v>8686561.1800000016</v>
          </cell>
          <cell r="H24">
            <v>1150</v>
          </cell>
          <cell r="L24">
            <v>67</v>
          </cell>
          <cell r="M24">
            <v>14935553</v>
          </cell>
          <cell r="N24">
            <v>164965</v>
          </cell>
          <cell r="O24">
            <v>3705352.28</v>
          </cell>
          <cell r="Q24">
            <v>16</v>
          </cell>
          <cell r="R24">
            <v>414655</v>
          </cell>
          <cell r="T24">
            <v>12806568.460000001</v>
          </cell>
        </row>
        <row r="25">
          <cell r="C25">
            <v>125838412.14</v>
          </cell>
          <cell r="D25">
            <v>953030.54</v>
          </cell>
          <cell r="E25">
            <v>113673627.40000001</v>
          </cell>
          <cell r="F25">
            <v>11211754.199999999</v>
          </cell>
          <cell r="H25">
            <v>1150</v>
          </cell>
          <cell r="L25">
            <v>67</v>
          </cell>
          <cell r="M25">
            <v>18501842</v>
          </cell>
          <cell r="N25">
            <v>227745</v>
          </cell>
          <cell r="O25">
            <v>4245020.99</v>
          </cell>
          <cell r="Q25">
            <v>16</v>
          </cell>
          <cell r="R25">
            <v>517695</v>
          </cell>
          <cell r="T25">
            <v>15974470.189999999</v>
          </cell>
        </row>
        <row r="26">
          <cell r="H26">
            <v>1150</v>
          </cell>
          <cell r="L26">
            <v>67</v>
          </cell>
          <cell r="Q26">
            <v>16</v>
          </cell>
        </row>
        <row r="36">
          <cell r="C36">
            <v>8881539.1620000005</v>
          </cell>
          <cell r="D36">
            <v>4497984.4380000001</v>
          </cell>
          <cell r="E36">
            <v>18892.36</v>
          </cell>
          <cell r="F36">
            <v>0</v>
          </cell>
        </row>
        <row r="37">
          <cell r="C37">
            <v>8767701.7850000001</v>
          </cell>
          <cell r="D37">
            <v>4399908.5949999997</v>
          </cell>
          <cell r="E37">
            <v>13353.2</v>
          </cell>
          <cell r="F37">
            <v>0</v>
          </cell>
        </row>
        <row r="38">
          <cell r="C38">
            <v>8270648.3710000012</v>
          </cell>
          <cell r="D38">
            <v>4262750.6490000002</v>
          </cell>
          <cell r="E38">
            <v>8657.92</v>
          </cell>
          <cell r="F38">
            <v>0</v>
          </cell>
        </row>
        <row r="39">
          <cell r="C39">
            <v>8115067.9550000001</v>
          </cell>
          <cell r="D39">
            <v>4532309.1349999998</v>
          </cell>
          <cell r="E39">
            <v>8476.52</v>
          </cell>
          <cell r="F39">
            <v>0</v>
          </cell>
        </row>
        <row r="40">
          <cell r="C40">
            <v>9614571.9030000009</v>
          </cell>
          <cell r="D40">
            <v>4797815.557</v>
          </cell>
          <cell r="E40">
            <v>13988.32</v>
          </cell>
          <cell r="F40">
            <v>0</v>
          </cell>
        </row>
        <row r="41">
          <cell r="C41">
            <v>8585007.1000000015</v>
          </cell>
          <cell r="D41">
            <v>4380715.59</v>
          </cell>
          <cell r="E41">
            <v>10955.83</v>
          </cell>
          <cell r="F41">
            <v>0</v>
          </cell>
        </row>
        <row r="42">
          <cell r="C42">
            <v>8036809.9740000004</v>
          </cell>
          <cell r="D42">
            <v>4159073.6060000001</v>
          </cell>
          <cell r="E42">
            <v>9759.23</v>
          </cell>
          <cell r="F42">
            <v>0</v>
          </cell>
        </row>
        <row r="43">
          <cell r="C43">
            <v>8078482.4615000002</v>
          </cell>
          <cell r="D43">
            <v>4158071.1185000003</v>
          </cell>
          <cell r="E43">
            <v>54008.37</v>
          </cell>
          <cell r="F43">
            <v>750</v>
          </cell>
        </row>
        <row r="44">
          <cell r="C44">
            <v>8976224.8065000009</v>
          </cell>
          <cell r="D44">
            <v>4457794.9535000008</v>
          </cell>
          <cell r="E44">
            <v>10466.85</v>
          </cell>
          <cell r="F44">
            <v>0</v>
          </cell>
        </row>
        <row r="45">
          <cell r="C45">
            <v>7516377.4445000011</v>
          </cell>
          <cell r="D45">
            <v>3838485.8255000003</v>
          </cell>
          <cell r="E45">
            <v>13154.67</v>
          </cell>
          <cell r="F45">
            <v>-10</v>
          </cell>
        </row>
        <row r="46">
          <cell r="C46">
            <v>8485615.2010000013</v>
          </cell>
          <cell r="D46">
            <v>4320953.2590000005</v>
          </cell>
          <cell r="E46">
            <v>9488.66</v>
          </cell>
          <cell r="F46">
            <v>0</v>
          </cell>
        </row>
        <row r="47">
          <cell r="C47">
            <v>10452909.201000001</v>
          </cell>
          <cell r="D47">
            <v>5521560.9890000001</v>
          </cell>
          <cell r="E47">
            <v>8650.27</v>
          </cell>
          <cell r="F47">
            <v>120000</v>
          </cell>
        </row>
      </sheetData>
      <sheetData sheetId="8">
        <row r="14">
          <cell r="C14">
            <v>80647208.260000005</v>
          </cell>
          <cell r="D14">
            <v>1037054.8799999999</v>
          </cell>
          <cell r="E14">
            <v>72720079.610000014</v>
          </cell>
          <cell r="H14">
            <v>6890073.7699999968</v>
          </cell>
          <cell r="I14">
            <v>1150</v>
          </cell>
          <cell r="L14">
            <v>67</v>
          </cell>
          <cell r="M14">
            <v>19586673.5</v>
          </cell>
          <cell r="N14">
            <v>1615</v>
          </cell>
          <cell r="O14">
            <v>3753864.2499999995</v>
          </cell>
          <cell r="Q14">
            <v>15</v>
          </cell>
          <cell r="R14">
            <v>561659</v>
          </cell>
          <cell r="T14">
            <v>11205597.019999996</v>
          </cell>
        </row>
        <row r="15">
          <cell r="C15">
            <v>80456670.589999974</v>
          </cell>
          <cell r="D15">
            <v>909032.91999999993</v>
          </cell>
          <cell r="E15">
            <v>72848796.559999987</v>
          </cell>
          <cell r="H15">
            <v>6698841.1099999985</v>
          </cell>
          <cell r="I15">
            <v>1150</v>
          </cell>
          <cell r="L15">
            <v>67</v>
          </cell>
          <cell r="M15">
            <v>18567364.5</v>
          </cell>
          <cell r="N15">
            <v>48580</v>
          </cell>
          <cell r="O15">
            <v>3628678.6999999997</v>
          </cell>
          <cell r="Q15">
            <v>15.870967741935484</v>
          </cell>
          <cell r="R15">
            <v>561790.25</v>
          </cell>
          <cell r="T15">
            <v>10889310.059999999</v>
          </cell>
        </row>
        <row r="16">
          <cell r="C16">
            <v>74907543.900000006</v>
          </cell>
          <cell r="D16">
            <v>877195.20000000019</v>
          </cell>
          <cell r="E16">
            <v>67724577.939999998</v>
          </cell>
          <cell r="H16">
            <v>6305770.7599999979</v>
          </cell>
          <cell r="I16">
            <v>1150</v>
          </cell>
          <cell r="L16">
            <v>67</v>
          </cell>
          <cell r="M16">
            <v>17950241.509999998</v>
          </cell>
          <cell r="N16">
            <v>58865</v>
          </cell>
          <cell r="O16">
            <v>3257455.0599999996</v>
          </cell>
          <cell r="Q16">
            <v>16</v>
          </cell>
          <cell r="R16">
            <v>453207</v>
          </cell>
          <cell r="T16">
            <v>10016432.819999997</v>
          </cell>
        </row>
        <row r="17">
          <cell r="C17">
            <v>97401270.561000019</v>
          </cell>
          <cell r="D17">
            <v>1660973.4100000001</v>
          </cell>
          <cell r="E17">
            <v>87791544.589999989</v>
          </cell>
          <cell r="H17">
            <v>7948752.5610000007</v>
          </cell>
          <cell r="I17">
            <v>1150</v>
          </cell>
          <cell r="L17">
            <v>67</v>
          </cell>
          <cell r="M17">
            <v>18479728.559999999</v>
          </cell>
          <cell r="N17">
            <v>179125</v>
          </cell>
          <cell r="O17">
            <v>4879371.8600000003</v>
          </cell>
          <cell r="Q17">
            <v>16</v>
          </cell>
          <cell r="R17">
            <v>469133</v>
          </cell>
          <cell r="T17">
            <v>13297257.421</v>
          </cell>
        </row>
        <row r="18">
          <cell r="C18">
            <v>98325180.199999988</v>
          </cell>
          <cell r="D18">
            <v>1804817.0499999993</v>
          </cell>
          <cell r="E18">
            <v>88860468.320000008</v>
          </cell>
          <cell r="H18">
            <v>7659894.8299999982</v>
          </cell>
          <cell r="I18">
            <v>1150</v>
          </cell>
          <cell r="L18">
            <v>67</v>
          </cell>
          <cell r="M18">
            <v>18227067.68</v>
          </cell>
          <cell r="N18">
            <v>240750</v>
          </cell>
          <cell r="O18">
            <v>3556519.4899999998</v>
          </cell>
          <cell r="Q18">
            <v>16</v>
          </cell>
          <cell r="R18">
            <v>476139</v>
          </cell>
          <cell r="T18">
            <v>11692553.319999998</v>
          </cell>
        </row>
        <row r="19">
          <cell r="C19">
            <v>100125309.67</v>
          </cell>
          <cell r="D19">
            <v>1702541.4700000002</v>
          </cell>
          <cell r="E19">
            <v>90718697.319999993</v>
          </cell>
          <cell r="H19">
            <v>7704070.8799999999</v>
          </cell>
          <cell r="I19">
            <v>1150</v>
          </cell>
          <cell r="L19">
            <v>67</v>
          </cell>
          <cell r="M19">
            <v>16586374</v>
          </cell>
          <cell r="N19">
            <v>353715</v>
          </cell>
          <cell r="O19">
            <v>3918892.95</v>
          </cell>
          <cell r="Q19">
            <v>16</v>
          </cell>
          <cell r="R19">
            <v>425064</v>
          </cell>
          <cell r="T19">
            <v>12048027.83</v>
          </cell>
        </row>
        <row r="20">
          <cell r="C20">
            <v>97564760.540000021</v>
          </cell>
          <cell r="D20">
            <v>1331963.9500000002</v>
          </cell>
          <cell r="E20">
            <v>88515691.700000018</v>
          </cell>
          <cell r="H20">
            <v>7717104.8900000006</v>
          </cell>
          <cell r="I20">
            <v>1150</v>
          </cell>
          <cell r="L20">
            <v>67</v>
          </cell>
          <cell r="M20">
            <v>16658613.869999999</v>
          </cell>
          <cell r="N20">
            <v>206480</v>
          </cell>
          <cell r="O20">
            <v>2981794.12</v>
          </cell>
          <cell r="Q20">
            <v>16</v>
          </cell>
          <cell r="R20">
            <v>413827</v>
          </cell>
          <cell r="T20">
            <v>11112726.010000002</v>
          </cell>
        </row>
        <row r="21">
          <cell r="C21">
            <v>92678370.700000003</v>
          </cell>
          <cell r="D21">
            <v>898677.93</v>
          </cell>
          <cell r="E21">
            <v>84015567.389999971</v>
          </cell>
          <cell r="H21">
            <v>7764125.3800000018</v>
          </cell>
          <cell r="I21">
            <v>1150</v>
          </cell>
          <cell r="L21">
            <v>67</v>
          </cell>
          <cell r="M21">
            <v>16598991.35</v>
          </cell>
          <cell r="N21">
            <v>121775</v>
          </cell>
          <cell r="O21">
            <v>3695058.85</v>
          </cell>
          <cell r="Q21">
            <v>16</v>
          </cell>
          <cell r="R21">
            <v>430709</v>
          </cell>
          <cell r="T21">
            <v>11889893.230000002</v>
          </cell>
        </row>
        <row r="22">
          <cell r="C22">
            <v>89350666.770000011</v>
          </cell>
          <cell r="D22">
            <v>692447.26</v>
          </cell>
          <cell r="E22">
            <v>81263794.310000002</v>
          </cell>
          <cell r="H22">
            <v>7394425.2000000002</v>
          </cell>
          <cell r="I22">
            <v>1150</v>
          </cell>
          <cell r="L22">
            <v>67</v>
          </cell>
          <cell r="M22">
            <v>16401434.5</v>
          </cell>
          <cell r="N22">
            <v>127160</v>
          </cell>
          <cell r="O22">
            <v>3573031.2499999995</v>
          </cell>
          <cell r="Q22">
            <v>16</v>
          </cell>
          <cell r="R22">
            <v>437269</v>
          </cell>
          <cell r="T22">
            <v>11404725.449999999</v>
          </cell>
        </row>
        <row r="23">
          <cell r="C23">
            <v>87537615.400000006</v>
          </cell>
          <cell r="D23">
            <v>692578.61</v>
          </cell>
          <cell r="E23">
            <v>79466743.289999992</v>
          </cell>
          <cell r="H23">
            <v>7378293.5</v>
          </cell>
          <cell r="I23">
            <v>1150</v>
          </cell>
          <cell r="L23">
            <v>67</v>
          </cell>
          <cell r="M23">
            <v>16239238.689999999</v>
          </cell>
          <cell r="N23">
            <v>128780</v>
          </cell>
          <cell r="O23">
            <v>3370341.2199999997</v>
          </cell>
          <cell r="Q23">
            <v>16</v>
          </cell>
          <cell r="R23">
            <v>446864</v>
          </cell>
          <cell r="T23">
            <v>11195498.719999999</v>
          </cell>
        </row>
        <row r="24">
          <cell r="C24">
            <v>94585566.650000006</v>
          </cell>
          <cell r="D24">
            <v>646022.37999999989</v>
          </cell>
          <cell r="E24">
            <v>85807514.88000001</v>
          </cell>
          <cell r="H24">
            <v>8132029.3900000006</v>
          </cell>
          <cell r="I24">
            <v>1150</v>
          </cell>
          <cell r="L24">
            <v>67</v>
          </cell>
          <cell r="M24">
            <v>15395827.699999999</v>
          </cell>
          <cell r="N24">
            <v>107510</v>
          </cell>
          <cell r="O24">
            <v>3793276.1500000004</v>
          </cell>
          <cell r="Q24">
            <v>16</v>
          </cell>
          <cell r="R24">
            <v>470366</v>
          </cell>
          <cell r="T24">
            <v>12395671.540000001</v>
          </cell>
        </row>
        <row r="25">
          <cell r="C25">
            <v>113423941.01000001</v>
          </cell>
          <cell r="D25">
            <v>855052.95000000007</v>
          </cell>
          <cell r="E25">
            <v>103166248.07999998</v>
          </cell>
          <cell r="H25">
            <v>9402639.9799999986</v>
          </cell>
          <cell r="I25">
            <v>1150</v>
          </cell>
          <cell r="L25">
            <v>67</v>
          </cell>
          <cell r="M25">
            <v>20495783.619999997</v>
          </cell>
          <cell r="N25">
            <v>190305</v>
          </cell>
          <cell r="O25">
            <v>3850551.17</v>
          </cell>
          <cell r="Q25">
            <v>16</v>
          </cell>
          <cell r="R25">
            <v>536412</v>
          </cell>
          <cell r="T25">
            <v>13789603.149999999</v>
          </cell>
        </row>
        <row r="26">
          <cell r="I26">
            <v>1150</v>
          </cell>
          <cell r="L26">
            <v>67</v>
          </cell>
          <cell r="Q26">
            <v>16</v>
          </cell>
        </row>
        <row r="36">
          <cell r="D36">
            <v>7673511.4984999988</v>
          </cell>
          <cell r="E36">
            <v>3532085.5214999989</v>
          </cell>
          <cell r="F36">
            <v>-12871.25</v>
          </cell>
        </row>
        <row r="37">
          <cell r="D37">
            <v>7455784.6654999992</v>
          </cell>
          <cell r="E37">
            <v>3433525.3944999995</v>
          </cell>
          <cell r="F37">
            <v>0</v>
          </cell>
        </row>
        <row r="38">
          <cell r="D38">
            <v>6807769.7719999989</v>
          </cell>
          <cell r="E38">
            <v>3208663.0479999995</v>
          </cell>
          <cell r="F38">
            <v>0</v>
          </cell>
        </row>
        <row r="39">
          <cell r="D39">
            <v>9185468.2825500015</v>
          </cell>
          <cell r="E39">
            <v>4111789.1384500004</v>
          </cell>
          <cell r="F39">
            <v>0</v>
          </cell>
        </row>
        <row r="40">
          <cell r="D40">
            <v>7842334.7974999994</v>
          </cell>
          <cell r="E40">
            <v>3850218.522499999</v>
          </cell>
          <cell r="F40">
            <v>0</v>
          </cell>
        </row>
        <row r="41">
          <cell r="D41">
            <v>8146800.2390000001</v>
          </cell>
          <cell r="E41">
            <v>3901227.591</v>
          </cell>
          <cell r="F41">
            <v>0</v>
          </cell>
        </row>
        <row r="42">
          <cell r="D42">
            <v>7300466.6975000007</v>
          </cell>
          <cell r="E42">
            <v>3812259.3125000005</v>
          </cell>
          <cell r="F42">
            <v>0</v>
          </cell>
        </row>
        <row r="43">
          <cell r="D43">
            <v>7983460.0240000021</v>
          </cell>
          <cell r="E43">
            <v>3906433.2060000012</v>
          </cell>
          <cell r="F43">
            <v>0</v>
          </cell>
        </row>
        <row r="44">
          <cell r="D44">
            <v>7676204.085</v>
          </cell>
          <cell r="E44">
            <v>3728521.3650000002</v>
          </cell>
          <cell r="F44">
            <v>0</v>
          </cell>
        </row>
        <row r="45">
          <cell r="D45">
            <v>7493546.1229999997</v>
          </cell>
          <cell r="E45">
            <v>3701952.5970000001</v>
          </cell>
          <cell r="F45">
            <v>0</v>
          </cell>
        </row>
        <row r="46">
          <cell r="D46">
            <v>8309894.0995000014</v>
          </cell>
          <cell r="E46">
            <v>4085777.4405000005</v>
          </cell>
          <cell r="F46">
            <v>21275.759999999998</v>
          </cell>
        </row>
        <row r="47">
          <cell r="D47">
            <v>9119718.8420000002</v>
          </cell>
          <cell r="E47">
            <v>4669884.3079999993</v>
          </cell>
          <cell r="F47">
            <v>28035.93</v>
          </cell>
        </row>
      </sheetData>
      <sheetData sheetId="9">
        <row r="24">
          <cell r="C24">
            <v>82999525.809999987</v>
          </cell>
          <cell r="D24">
            <v>271577.04000000004</v>
          </cell>
          <cell r="E24">
            <v>74574210.580000013</v>
          </cell>
          <cell r="G24">
            <v>8153738.1900000004</v>
          </cell>
          <cell r="H24">
            <v>1150</v>
          </cell>
          <cell r="K24">
            <v>67</v>
          </cell>
          <cell r="L24">
            <v>16808153.149999999</v>
          </cell>
          <cell r="M24">
            <v>0</v>
          </cell>
          <cell r="N24">
            <v>2443531.3000000003</v>
          </cell>
          <cell r="P24">
            <v>15</v>
          </cell>
          <cell r="Q24">
            <v>478349</v>
          </cell>
          <cell r="S24">
            <v>11075618.49</v>
          </cell>
        </row>
        <row r="25">
          <cell r="C25">
            <v>86754149.329999998</v>
          </cell>
          <cell r="D25">
            <v>626047.32999999996</v>
          </cell>
          <cell r="E25">
            <v>78078670.030000001</v>
          </cell>
          <cell r="G25">
            <v>8049431.9700000025</v>
          </cell>
          <cell r="H25">
            <v>1150</v>
          </cell>
          <cell r="K25">
            <v>67</v>
          </cell>
          <cell r="L25">
            <v>23865241</v>
          </cell>
          <cell r="M25">
            <v>0</v>
          </cell>
          <cell r="N25">
            <v>4923259.5</v>
          </cell>
          <cell r="P25">
            <v>15</v>
          </cell>
          <cell r="Q25">
            <v>620999</v>
          </cell>
          <cell r="S25">
            <v>13593690.470000003</v>
          </cell>
        </row>
        <row r="26">
          <cell r="H26">
            <v>1150</v>
          </cell>
          <cell r="K26">
            <v>67</v>
          </cell>
          <cell r="P26">
            <v>15</v>
          </cell>
        </row>
        <row r="46">
          <cell r="D46">
            <v>7114248.2745000012</v>
          </cell>
          <cell r="E46">
            <v>3961370.2154999999</v>
          </cell>
        </row>
        <row r="47">
          <cell r="D47">
            <v>9417020.233500002</v>
          </cell>
          <cell r="E47">
            <v>4176670.2365000015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-26 RW Catskills Monthly"/>
      <sheetName val="24-25 RW Catskills Monthly"/>
      <sheetName val="23-24 RW Catskills Monthly "/>
      <sheetName val="22-23 RW Catskills Monthly"/>
      <sheetName val="21-22 RW Catskills Monthly"/>
      <sheetName val="20-21 RW Catskills Monthly"/>
      <sheetName val="19-20 RW Catskills Monthly"/>
      <sheetName val="18-19 RW Catskills Monthly "/>
      <sheetName val="17-18 RW Catskills Monthly"/>
    </sheetNames>
    <sheetDataSet>
      <sheetData sheetId="0">
        <row r="14">
          <cell r="C14">
            <v>103697566.42999999</v>
          </cell>
          <cell r="D14">
            <v>1946968.17</v>
          </cell>
          <cell r="E14">
            <v>94190234.540000007</v>
          </cell>
          <cell r="F14">
            <v>7560363.7200000025</v>
          </cell>
          <cell r="H14">
            <v>1602</v>
          </cell>
          <cell r="L14">
            <v>126</v>
          </cell>
          <cell r="M14">
            <v>35609028.009999998</v>
          </cell>
          <cell r="N14">
            <v>600390</v>
          </cell>
          <cell r="O14">
            <v>6656860.5099999998</v>
          </cell>
          <cell r="Q14">
            <v>18</v>
          </cell>
          <cell r="R14">
            <v>307273</v>
          </cell>
          <cell r="T14">
            <v>394941.25</v>
          </cell>
          <cell r="U14">
            <v>28587.600000000002</v>
          </cell>
          <cell r="W14">
            <v>14553084.830000002</v>
          </cell>
        </row>
        <row r="15">
          <cell r="C15">
            <v>123000456.08</v>
          </cell>
          <cell r="D15">
            <v>1976593.5</v>
          </cell>
          <cell r="E15">
            <v>111999973.69</v>
          </cell>
          <cell r="F15">
            <v>9023888.8900000025</v>
          </cell>
          <cell r="H15">
            <v>1602</v>
          </cell>
          <cell r="L15">
            <v>126</v>
          </cell>
          <cell r="M15">
            <v>37731176</v>
          </cell>
          <cell r="N15">
            <v>509360</v>
          </cell>
          <cell r="O15">
            <v>8761106</v>
          </cell>
          <cell r="Q15">
            <v>18</v>
          </cell>
          <cell r="R15">
            <v>352592</v>
          </cell>
          <cell r="T15">
            <v>23678</v>
          </cell>
          <cell r="U15">
            <v>-50684.700000000004</v>
          </cell>
          <cell r="W15">
            <v>18086902.190000001</v>
          </cell>
        </row>
        <row r="16">
          <cell r="C16">
            <v>111771561.64999999</v>
          </cell>
          <cell r="D16">
            <v>1870034.79</v>
          </cell>
          <cell r="E16">
            <v>102239164.29000001</v>
          </cell>
          <cell r="F16">
            <v>7662362.5700000003</v>
          </cell>
          <cell r="H16">
            <v>1602</v>
          </cell>
          <cell r="L16">
            <v>126</v>
          </cell>
          <cell r="M16">
            <v>34714486</v>
          </cell>
          <cell r="N16">
            <v>444785</v>
          </cell>
          <cell r="O16">
            <v>5404348.5</v>
          </cell>
          <cell r="Q16">
            <v>18</v>
          </cell>
          <cell r="R16">
            <v>316311</v>
          </cell>
          <cell r="T16">
            <v>0</v>
          </cell>
          <cell r="U16">
            <v>-3991.6000000000004</v>
          </cell>
          <cell r="W16">
            <v>13379030.470000001</v>
          </cell>
        </row>
        <row r="17">
          <cell r="C17">
            <v>122246215.53000002</v>
          </cell>
          <cell r="D17">
            <v>1958955.96</v>
          </cell>
          <cell r="E17">
            <v>110670709.84999999</v>
          </cell>
          <cell r="F17">
            <v>9616549.7200000007</v>
          </cell>
          <cell r="H17">
            <v>1602</v>
          </cell>
          <cell r="L17">
            <v>126</v>
          </cell>
          <cell r="M17">
            <v>41844711</v>
          </cell>
          <cell r="N17">
            <v>442655</v>
          </cell>
          <cell r="O17">
            <v>7770838</v>
          </cell>
          <cell r="Q17">
            <v>18</v>
          </cell>
          <cell r="R17">
            <v>388098</v>
          </cell>
          <cell r="T17">
            <v>0</v>
          </cell>
          <cell r="U17">
            <v>-1804.8499999999997</v>
          </cell>
          <cell r="W17">
            <v>17773680.869999997</v>
          </cell>
        </row>
        <row r="18">
          <cell r="C18">
            <v>131622433.37000002</v>
          </cell>
          <cell r="D18">
            <v>2125557.65</v>
          </cell>
          <cell r="E18">
            <v>119424087.78</v>
          </cell>
          <cell r="F18">
            <v>10072787.940000001</v>
          </cell>
          <cell r="H18">
            <v>1602</v>
          </cell>
          <cell r="L18">
            <v>123.93548387096774</v>
          </cell>
          <cell r="M18">
            <v>41615628</v>
          </cell>
          <cell r="N18">
            <v>510465</v>
          </cell>
          <cell r="O18">
            <v>8904101.25</v>
          </cell>
          <cell r="Q18">
            <v>19.032258064516128</v>
          </cell>
          <cell r="R18">
            <v>384322</v>
          </cell>
          <cell r="T18">
            <v>0</v>
          </cell>
          <cell r="U18">
            <v>-1181.2</v>
          </cell>
          <cell r="W18">
            <v>19360029.990000002</v>
          </cell>
        </row>
        <row r="19">
          <cell r="C19">
            <v>105876945.90000002</v>
          </cell>
          <cell r="D19">
            <v>1859757.29</v>
          </cell>
          <cell r="E19">
            <v>96401706.379999995</v>
          </cell>
          <cell r="F19">
            <v>7615482.2299999995</v>
          </cell>
          <cell r="H19">
            <v>1602</v>
          </cell>
          <cell r="L19">
            <v>122</v>
          </cell>
          <cell r="M19">
            <v>34313454</v>
          </cell>
          <cell r="N19">
            <v>437805</v>
          </cell>
          <cell r="O19">
            <v>7589321</v>
          </cell>
          <cell r="Q19">
            <v>20</v>
          </cell>
          <cell r="R19">
            <v>290548</v>
          </cell>
          <cell r="T19">
            <v>0</v>
          </cell>
          <cell r="U19">
            <v>-7274.9</v>
          </cell>
          <cell r="W19">
            <v>15488076.33</v>
          </cell>
        </row>
        <row r="20">
          <cell r="C20">
            <v>115083181.82999998</v>
          </cell>
          <cell r="D20">
            <v>2029290.26</v>
          </cell>
          <cell r="E20">
            <v>104455875.64</v>
          </cell>
          <cell r="F20">
            <v>8598015.9299999997</v>
          </cell>
          <cell r="H20">
            <v>1602</v>
          </cell>
          <cell r="L20">
            <v>122</v>
          </cell>
          <cell r="M20">
            <v>35620762</v>
          </cell>
          <cell r="N20">
            <v>480345</v>
          </cell>
          <cell r="O20">
            <v>5323110.5</v>
          </cell>
          <cell r="Q20">
            <v>20</v>
          </cell>
          <cell r="R20">
            <v>296549</v>
          </cell>
          <cell r="T20">
            <v>0</v>
          </cell>
          <cell r="U20">
            <v>-3585.25</v>
          </cell>
          <cell r="W20">
            <v>14214090.18</v>
          </cell>
        </row>
        <row r="21">
          <cell r="C21">
            <v>112355387.68999998</v>
          </cell>
          <cell r="D21">
            <v>1906816.04</v>
          </cell>
          <cell r="E21">
            <v>101640683.66</v>
          </cell>
          <cell r="F21">
            <v>8807887.9899999984</v>
          </cell>
          <cell r="H21">
            <v>1602</v>
          </cell>
          <cell r="L21">
            <v>115.06666666666666</v>
          </cell>
          <cell r="M21">
            <v>40268282</v>
          </cell>
          <cell r="N21">
            <v>524540</v>
          </cell>
          <cell r="O21">
            <v>7556065.75</v>
          </cell>
          <cell r="Q21">
            <v>20</v>
          </cell>
          <cell r="R21">
            <v>316651</v>
          </cell>
          <cell r="T21">
            <v>0</v>
          </cell>
          <cell r="U21">
            <v>-8588</v>
          </cell>
          <cell r="W21">
            <v>16672016.739999998</v>
          </cell>
        </row>
        <row r="22">
          <cell r="C22">
            <v>99271161.270000026</v>
          </cell>
          <cell r="D22">
            <v>1894137.83</v>
          </cell>
          <cell r="E22">
            <v>89988883.819999993</v>
          </cell>
          <cell r="F22">
            <v>7388139.6199999982</v>
          </cell>
          <cell r="H22">
            <v>1602</v>
          </cell>
          <cell r="L22">
            <v>114</v>
          </cell>
          <cell r="M22">
            <v>35510590</v>
          </cell>
          <cell r="N22">
            <v>594410</v>
          </cell>
          <cell r="O22">
            <v>5664049.25</v>
          </cell>
          <cell r="Q22">
            <v>20</v>
          </cell>
          <cell r="R22">
            <v>272496</v>
          </cell>
          <cell r="T22">
            <v>0</v>
          </cell>
          <cell r="U22">
            <v>-353.6</v>
          </cell>
          <cell r="W22">
            <v>13324331.269999998</v>
          </cell>
        </row>
        <row r="23">
          <cell r="C23">
            <v>100542919.12</v>
          </cell>
          <cell r="D23">
            <v>1792049.14</v>
          </cell>
          <cell r="E23">
            <v>89038286.870000005</v>
          </cell>
          <cell r="F23">
            <v>9712583.1099999994</v>
          </cell>
          <cell r="H23">
            <v>1602</v>
          </cell>
          <cell r="L23">
            <v>114</v>
          </cell>
          <cell r="M23">
            <v>35512256</v>
          </cell>
          <cell r="N23">
            <v>548860</v>
          </cell>
          <cell r="O23">
            <v>7895466</v>
          </cell>
          <cell r="Q23">
            <v>20</v>
          </cell>
          <cell r="R23">
            <v>301877</v>
          </cell>
          <cell r="T23">
            <v>0</v>
          </cell>
          <cell r="U23">
            <v>-42</v>
          </cell>
          <cell r="W23">
            <v>17909884.109999999</v>
          </cell>
        </row>
        <row r="24">
          <cell r="C24"/>
          <cell r="D24"/>
          <cell r="E24"/>
          <cell r="F24"/>
          <cell r="H24"/>
          <cell r="L24"/>
          <cell r="M24"/>
          <cell r="N24"/>
          <cell r="O24"/>
          <cell r="Q24"/>
          <cell r="U24"/>
          <cell r="W24">
            <v>0</v>
          </cell>
        </row>
        <row r="25">
          <cell r="C25"/>
          <cell r="D25"/>
          <cell r="E25"/>
          <cell r="F25"/>
          <cell r="H25"/>
          <cell r="L25"/>
          <cell r="M25"/>
          <cell r="N25"/>
          <cell r="O25"/>
          <cell r="Q25"/>
          <cell r="U25"/>
          <cell r="W25">
            <v>0</v>
          </cell>
        </row>
        <row r="26">
          <cell r="H26">
            <v>1602</v>
          </cell>
          <cell r="L26">
            <v>121.50021505376344</v>
          </cell>
        </row>
        <row r="36">
          <cell r="C36">
            <v>11585703.603</v>
          </cell>
          <cell r="D36">
            <v>2967381.2270000009</v>
          </cell>
          <cell r="E36">
            <v>18625.41</v>
          </cell>
          <cell r="F36">
            <v>20.02</v>
          </cell>
        </row>
        <row r="37">
          <cell r="C37">
            <v>14473434.193000002</v>
          </cell>
          <cell r="D37">
            <v>3613467.9970000009</v>
          </cell>
          <cell r="E37">
            <v>11096.95</v>
          </cell>
          <cell r="F37">
            <v>0</v>
          </cell>
        </row>
        <row r="38">
          <cell r="C38">
            <v>10508654.909</v>
          </cell>
          <cell r="D38">
            <v>2870375.5610000002</v>
          </cell>
          <cell r="E38">
            <v>11684.08</v>
          </cell>
          <cell r="F38">
            <v>350344.18</v>
          </cell>
        </row>
        <row r="39">
          <cell r="C39">
            <v>14073002.839000002</v>
          </cell>
          <cell r="D39">
            <v>3700678.0310000004</v>
          </cell>
          <cell r="E39">
            <v>25632.420000000002</v>
          </cell>
          <cell r="F39">
            <v>0</v>
          </cell>
        </row>
        <row r="40">
          <cell r="C40">
            <v>15409469.403000001</v>
          </cell>
          <cell r="D40">
            <v>3950560.5870000003</v>
          </cell>
          <cell r="E40">
            <v>13518.619999999999</v>
          </cell>
          <cell r="F40">
            <v>0</v>
          </cell>
        </row>
        <row r="41">
          <cell r="C41">
            <v>12416172.250999998</v>
          </cell>
          <cell r="D41">
            <v>3071904.0789999999</v>
          </cell>
          <cell r="E41">
            <v>13045.93</v>
          </cell>
          <cell r="F41">
            <v>0</v>
          </cell>
        </row>
        <row r="42">
          <cell r="C42">
            <v>11073077.976</v>
          </cell>
          <cell r="D42">
            <v>3141012.2039999999</v>
          </cell>
          <cell r="E42">
            <v>16088.76</v>
          </cell>
          <cell r="F42">
            <v>0</v>
          </cell>
        </row>
        <row r="43">
          <cell r="C43">
            <v>13243237.467999998</v>
          </cell>
          <cell r="D43">
            <v>3428779.2719999994</v>
          </cell>
          <cell r="E43">
            <v>14362.15</v>
          </cell>
          <cell r="F43">
            <v>5000</v>
          </cell>
        </row>
        <row r="44">
          <cell r="C44">
            <v>10514270.218999999</v>
          </cell>
          <cell r="D44">
            <v>2810061.0509999995</v>
          </cell>
          <cell r="E44">
            <v>22092.82</v>
          </cell>
          <cell r="F44">
            <v>30000</v>
          </cell>
        </row>
        <row r="45">
          <cell r="C45">
            <v>14176379.077</v>
          </cell>
          <cell r="D45">
            <v>3733505.0329999998</v>
          </cell>
          <cell r="E45">
            <v>14674.3</v>
          </cell>
          <cell r="F45">
            <v>0</v>
          </cell>
        </row>
      </sheetData>
      <sheetData sheetId="1">
        <row r="14">
          <cell r="C14">
            <v>111721915.64999999</v>
          </cell>
          <cell r="D14">
            <v>2521684.08</v>
          </cell>
          <cell r="E14">
            <v>101775589.97</v>
          </cell>
          <cell r="F14">
            <v>7424641.6000000024</v>
          </cell>
          <cell r="H14">
            <v>1636</v>
          </cell>
          <cell r="L14">
            <v>133</v>
          </cell>
          <cell r="M14">
            <v>39929059.5</v>
          </cell>
          <cell r="N14">
            <v>543955</v>
          </cell>
          <cell r="O14">
            <v>9599335.75</v>
          </cell>
          <cell r="Q14">
            <v>19</v>
          </cell>
          <cell r="R14">
            <v>372443</v>
          </cell>
          <cell r="T14">
            <v>661064.25</v>
          </cell>
          <cell r="U14">
            <v>66820.599999999977</v>
          </cell>
          <cell r="W14">
            <v>17463240.950000003</v>
          </cell>
        </row>
        <row r="15">
          <cell r="C15">
            <v>118212730.27999997</v>
          </cell>
          <cell r="D15">
            <v>2680672.5</v>
          </cell>
          <cell r="E15">
            <v>107279676.09999999</v>
          </cell>
          <cell r="F15">
            <v>8252381.6800000006</v>
          </cell>
          <cell r="H15">
            <v>1636</v>
          </cell>
          <cell r="L15">
            <v>133</v>
          </cell>
          <cell r="M15">
            <v>40205410</v>
          </cell>
          <cell r="N15">
            <v>470640</v>
          </cell>
          <cell r="O15">
            <v>8436506</v>
          </cell>
          <cell r="Q15">
            <v>19</v>
          </cell>
          <cell r="R15">
            <v>347573</v>
          </cell>
          <cell r="T15">
            <v>686051.7</v>
          </cell>
          <cell r="U15">
            <v>51142.2</v>
          </cell>
          <cell r="W15">
            <v>17087602.879999999</v>
          </cell>
        </row>
        <row r="16">
          <cell r="C16">
            <v>118742356.39000003</v>
          </cell>
          <cell r="D16">
            <v>2617477.39</v>
          </cell>
          <cell r="E16">
            <v>107578283.06</v>
          </cell>
          <cell r="F16">
            <v>8546595.9400000032</v>
          </cell>
          <cell r="H16">
            <v>1615.6</v>
          </cell>
          <cell r="L16">
            <v>133</v>
          </cell>
          <cell r="M16">
            <v>40794920.25</v>
          </cell>
          <cell r="N16">
            <v>565455</v>
          </cell>
          <cell r="O16">
            <v>6526665.75</v>
          </cell>
          <cell r="Q16">
            <v>19</v>
          </cell>
          <cell r="R16">
            <v>344697</v>
          </cell>
          <cell r="T16">
            <v>478475.15</v>
          </cell>
          <cell r="U16">
            <v>-2369.8000000000011</v>
          </cell>
          <cell r="W16">
            <v>15415588.890000002</v>
          </cell>
        </row>
        <row r="17">
          <cell r="C17">
            <v>124225818.32000002</v>
          </cell>
          <cell r="D17">
            <v>2662960.7000000002</v>
          </cell>
          <cell r="E17">
            <v>112882818.53</v>
          </cell>
          <cell r="F17">
            <v>8680039.0899999943</v>
          </cell>
          <cell r="H17">
            <v>1602</v>
          </cell>
          <cell r="L17">
            <v>133</v>
          </cell>
          <cell r="M17">
            <v>45209642.100000001</v>
          </cell>
          <cell r="N17">
            <v>516785</v>
          </cell>
          <cell r="O17">
            <v>8563060.0999999996</v>
          </cell>
          <cell r="Q17">
            <v>19</v>
          </cell>
          <cell r="R17">
            <v>379737</v>
          </cell>
          <cell r="T17">
            <v>459514.95</v>
          </cell>
          <cell r="U17">
            <v>33463.750000000015</v>
          </cell>
          <cell r="W17">
            <v>17656299.939999994</v>
          </cell>
        </row>
        <row r="18">
          <cell r="C18">
            <v>129445343.06999999</v>
          </cell>
          <cell r="D18">
            <v>2475548.9</v>
          </cell>
          <cell r="E18">
            <v>117808594.78</v>
          </cell>
          <cell r="F18">
            <v>9161199.3900000006</v>
          </cell>
          <cell r="H18">
            <v>1602</v>
          </cell>
          <cell r="L18">
            <v>133</v>
          </cell>
          <cell r="M18">
            <v>48703252</v>
          </cell>
          <cell r="N18">
            <v>588295</v>
          </cell>
          <cell r="O18">
            <v>9967656.25</v>
          </cell>
          <cell r="Q18">
            <v>19</v>
          </cell>
          <cell r="R18">
            <v>423127.5</v>
          </cell>
          <cell r="T18">
            <v>546329.19999999995</v>
          </cell>
          <cell r="U18">
            <v>75518.25</v>
          </cell>
          <cell r="W18">
            <v>19627501.390000001</v>
          </cell>
        </row>
        <row r="19">
          <cell r="C19">
            <v>110419673.12999998</v>
          </cell>
          <cell r="D19">
            <v>1972738.78</v>
          </cell>
          <cell r="E19">
            <v>100260482.17</v>
          </cell>
          <cell r="F19">
            <v>8186452.1800000025</v>
          </cell>
          <cell r="H19">
            <v>1602</v>
          </cell>
          <cell r="L19">
            <v>133</v>
          </cell>
          <cell r="M19">
            <v>40227934</v>
          </cell>
          <cell r="N19">
            <v>481300</v>
          </cell>
          <cell r="O19">
            <v>7846130.5</v>
          </cell>
          <cell r="Q19">
            <v>19</v>
          </cell>
          <cell r="R19">
            <v>318782</v>
          </cell>
          <cell r="T19">
            <v>793057.05</v>
          </cell>
          <cell r="U19">
            <v>162298.20000000004</v>
          </cell>
          <cell r="W19">
            <v>16513662.880000003</v>
          </cell>
        </row>
        <row r="20">
          <cell r="C20">
            <v>107297940.85000001</v>
          </cell>
          <cell r="D20">
            <v>1703562.33</v>
          </cell>
          <cell r="E20">
            <v>97461159.549999997</v>
          </cell>
          <cell r="F20">
            <v>8133218.9700000025</v>
          </cell>
          <cell r="H20">
            <v>1602</v>
          </cell>
          <cell r="L20">
            <v>133</v>
          </cell>
          <cell r="M20">
            <v>37198347</v>
          </cell>
          <cell r="N20">
            <v>435930</v>
          </cell>
          <cell r="O20">
            <v>5848294.75</v>
          </cell>
          <cell r="Q20">
            <v>19</v>
          </cell>
          <cell r="R20">
            <v>352079</v>
          </cell>
          <cell r="T20">
            <v>829656.60000000009</v>
          </cell>
          <cell r="U20">
            <v>-18490.050000000017</v>
          </cell>
          <cell r="W20">
            <v>14315102.670000002</v>
          </cell>
        </row>
        <row r="21">
          <cell r="C21">
            <v>106226041.09000003</v>
          </cell>
          <cell r="D21">
            <v>1801213.5</v>
          </cell>
          <cell r="E21">
            <v>96327646.459999993</v>
          </cell>
          <cell r="F21">
            <v>8097181.129999998</v>
          </cell>
          <cell r="H21">
            <v>1604</v>
          </cell>
          <cell r="L21">
            <v>133</v>
          </cell>
          <cell r="M21">
            <v>40470179</v>
          </cell>
          <cell r="N21">
            <v>451100</v>
          </cell>
          <cell r="O21">
            <v>8033383.75</v>
          </cell>
          <cell r="Q21">
            <v>18.133333333333333</v>
          </cell>
          <cell r="R21">
            <v>382586</v>
          </cell>
          <cell r="T21">
            <v>998690.79999999981</v>
          </cell>
          <cell r="U21">
            <v>7489.1100000000079</v>
          </cell>
          <cell r="W21">
            <v>16520639.989999998</v>
          </cell>
        </row>
        <row r="22">
          <cell r="C22">
            <v>100394429.07000002</v>
          </cell>
          <cell r="D22">
            <v>1713708.12</v>
          </cell>
          <cell r="E22">
            <v>90812165.599999994</v>
          </cell>
          <cell r="F22">
            <v>7868555.3500000034</v>
          </cell>
          <cell r="H22">
            <v>1606</v>
          </cell>
          <cell r="L22">
            <v>130</v>
          </cell>
          <cell r="M22">
            <v>37963972</v>
          </cell>
          <cell r="N22">
            <v>447785</v>
          </cell>
          <cell r="O22">
            <v>8864766.75</v>
          </cell>
          <cell r="Q22">
            <v>18</v>
          </cell>
          <cell r="R22">
            <v>346654</v>
          </cell>
          <cell r="T22">
            <v>609084.35</v>
          </cell>
          <cell r="U22">
            <v>8807.0500000000175</v>
          </cell>
          <cell r="W22">
            <v>17088783.150000002</v>
          </cell>
        </row>
        <row r="23">
          <cell r="C23">
            <v>91832914.5</v>
          </cell>
          <cell r="D23">
            <v>1614245.35</v>
          </cell>
          <cell r="E23">
            <v>83002301.659999996</v>
          </cell>
          <cell r="F23">
            <v>7216367.4899999993</v>
          </cell>
          <cell r="H23">
            <v>1602.7741935483871</v>
          </cell>
          <cell r="L23">
            <v>125</v>
          </cell>
          <cell r="M23">
            <v>37812303.75</v>
          </cell>
          <cell r="N23">
            <v>455120</v>
          </cell>
          <cell r="O23">
            <v>8100357.25</v>
          </cell>
          <cell r="Q23">
            <v>18</v>
          </cell>
          <cell r="R23">
            <v>351173</v>
          </cell>
          <cell r="T23">
            <v>837632.20000000007</v>
          </cell>
          <cell r="U23">
            <v>68240.39999999998</v>
          </cell>
          <cell r="W23">
            <v>15736138.139999999</v>
          </cell>
        </row>
        <row r="24">
          <cell r="C24">
            <v>90695971.690000013</v>
          </cell>
          <cell r="D24">
            <v>1762293.47</v>
          </cell>
          <cell r="E24">
            <v>82013725.319999993</v>
          </cell>
          <cell r="F24">
            <v>6919952.9000000004</v>
          </cell>
          <cell r="H24">
            <v>1602</v>
          </cell>
          <cell r="L24">
            <v>126</v>
          </cell>
          <cell r="M24">
            <v>33668245</v>
          </cell>
          <cell r="N24">
            <v>578020</v>
          </cell>
          <cell r="O24">
            <v>7108583.5</v>
          </cell>
          <cell r="Q24">
            <v>18</v>
          </cell>
          <cell r="R24">
            <v>305235</v>
          </cell>
          <cell r="T24">
            <v>620783.4</v>
          </cell>
          <cell r="U24">
            <v>-17382.3</v>
          </cell>
          <cell r="W24">
            <v>14316389.1</v>
          </cell>
        </row>
        <row r="25">
          <cell r="C25">
            <v>109643432.47999997</v>
          </cell>
          <cell r="D25">
            <v>1855736.97</v>
          </cell>
          <cell r="E25">
            <v>99221214.819999993</v>
          </cell>
          <cell r="F25">
            <v>8566480.6900000013</v>
          </cell>
          <cell r="H25">
            <v>1602</v>
          </cell>
          <cell r="L25">
            <v>126</v>
          </cell>
          <cell r="M25">
            <v>35071358.25</v>
          </cell>
          <cell r="N25">
            <v>483240</v>
          </cell>
          <cell r="O25">
            <v>6855853.75</v>
          </cell>
          <cell r="Q25">
            <v>18</v>
          </cell>
          <cell r="R25">
            <v>371413</v>
          </cell>
          <cell r="T25">
            <v>573197.44999999995</v>
          </cell>
          <cell r="U25">
            <v>14286.350000000026</v>
          </cell>
          <cell r="W25">
            <v>15808033.790000001</v>
          </cell>
        </row>
        <row r="26">
          <cell r="H26">
            <v>1609.38</v>
          </cell>
          <cell r="L26">
            <v>130.91666666666666</v>
          </cell>
        </row>
        <row r="36">
          <cell r="C36">
            <v>14231988.535</v>
          </cell>
          <cell r="D36">
            <v>3231252.4150000005</v>
          </cell>
          <cell r="E36">
            <v>13618.630000000001</v>
          </cell>
          <cell r="F36">
            <v>0</v>
          </cell>
        </row>
        <row r="37">
          <cell r="C37">
            <v>13728366.255999999</v>
          </cell>
          <cell r="D37">
            <v>3359236.6240000003</v>
          </cell>
          <cell r="E37">
            <v>18242.509999999998</v>
          </cell>
          <cell r="F37">
            <v>15000</v>
          </cell>
        </row>
        <row r="38">
          <cell r="C38">
            <v>12164710.813000001</v>
          </cell>
          <cell r="D38">
            <v>3250878.077000001</v>
          </cell>
          <cell r="E38">
            <v>12664.52</v>
          </cell>
          <cell r="F38">
            <v>0</v>
          </cell>
        </row>
        <row r="39">
          <cell r="C39">
            <v>14154662.127999995</v>
          </cell>
          <cell r="D39">
            <v>3501637.8119999981</v>
          </cell>
          <cell r="E39">
            <v>25042.93</v>
          </cell>
          <cell r="F39">
            <v>0</v>
          </cell>
        </row>
        <row r="40">
          <cell r="C40">
            <v>15832511.373</v>
          </cell>
          <cell r="D40">
            <v>3794990.0170000005</v>
          </cell>
          <cell r="E40">
            <v>19961.61</v>
          </cell>
          <cell r="F40">
            <v>60000</v>
          </cell>
        </row>
        <row r="41">
          <cell r="C41">
            <v>13225006.156000001</v>
          </cell>
          <cell r="D41">
            <v>3288656.7240000004</v>
          </cell>
          <cell r="E41">
            <v>15006.380000000001</v>
          </cell>
          <cell r="F41">
            <v>0</v>
          </cell>
        </row>
        <row r="42">
          <cell r="C42">
            <v>11256948.609000001</v>
          </cell>
          <cell r="D42">
            <v>3058154.0610000007</v>
          </cell>
          <cell r="E42">
            <v>43589.98</v>
          </cell>
          <cell r="F42">
            <v>-10</v>
          </cell>
        </row>
        <row r="43">
          <cell r="C43">
            <v>13249139.764999997</v>
          </cell>
          <cell r="D43">
            <v>3271500.2249999992</v>
          </cell>
          <cell r="E43">
            <v>71598.060000000012</v>
          </cell>
          <cell r="F43">
            <v>0</v>
          </cell>
        </row>
        <row r="44">
          <cell r="C44">
            <v>13806193.765000002</v>
          </cell>
          <cell r="D44">
            <v>3282589.3850000012</v>
          </cell>
          <cell r="E44">
            <v>17731.29</v>
          </cell>
          <cell r="F44">
            <v>-423</v>
          </cell>
        </row>
        <row r="45">
          <cell r="C45">
            <v>12719250.828</v>
          </cell>
          <cell r="D45">
            <v>3016887.3119999995</v>
          </cell>
          <cell r="E45">
            <v>19442.07</v>
          </cell>
          <cell r="F45">
            <v>0</v>
          </cell>
        </row>
        <row r="46">
          <cell r="C46">
            <v>11500759.609999999</v>
          </cell>
          <cell r="D46">
            <v>2815629.49</v>
          </cell>
          <cell r="E46">
            <v>26288.32</v>
          </cell>
          <cell r="F46">
            <v>0</v>
          </cell>
        </row>
        <row r="47">
          <cell r="C47">
            <v>12513934.273000002</v>
          </cell>
          <cell r="D47">
            <v>3294099.5170000005</v>
          </cell>
          <cell r="E47">
            <v>12267.35</v>
          </cell>
          <cell r="F47">
            <v>703255.4</v>
          </cell>
        </row>
      </sheetData>
      <sheetData sheetId="2">
        <row r="14">
          <cell r="C14">
            <v>121099544.05999999</v>
          </cell>
          <cell r="D14">
            <v>2463692.84</v>
          </cell>
          <cell r="E14">
            <v>110387924.67</v>
          </cell>
          <cell r="F14">
            <v>8247926.5500000026</v>
          </cell>
          <cell r="G14"/>
          <cell r="H14">
            <v>1608</v>
          </cell>
          <cell r="L14">
            <v>149</v>
          </cell>
          <cell r="M14">
            <v>42729115</v>
          </cell>
          <cell r="N14">
            <v>151810</v>
          </cell>
          <cell r="O14">
            <v>10254680.25</v>
          </cell>
          <cell r="Q14">
            <v>19</v>
          </cell>
          <cell r="R14">
            <v>417808</v>
          </cell>
          <cell r="T14">
            <v>1302006.6000000001</v>
          </cell>
          <cell r="U14">
            <v>67039.149999999965</v>
          </cell>
        </row>
        <row r="15">
          <cell r="C15">
            <v>129297758.88000001</v>
          </cell>
          <cell r="D15">
            <v>2808056.67</v>
          </cell>
          <cell r="E15">
            <v>117352617.16</v>
          </cell>
          <cell r="F15">
            <v>9137085.0500000045</v>
          </cell>
          <cell r="G15"/>
          <cell r="H15">
            <v>1602</v>
          </cell>
          <cell r="L15">
            <v>149</v>
          </cell>
          <cell r="M15">
            <v>45660965</v>
          </cell>
          <cell r="N15">
            <v>207515</v>
          </cell>
          <cell r="O15">
            <v>7323886.25</v>
          </cell>
          <cell r="Q15">
            <v>19</v>
          </cell>
          <cell r="R15">
            <v>344093</v>
          </cell>
          <cell r="T15">
            <v>1118362.55</v>
          </cell>
          <cell r="U15">
            <v>269375.69999999995</v>
          </cell>
        </row>
        <row r="16">
          <cell r="C16">
            <v>126061990.06999998</v>
          </cell>
          <cell r="D16">
            <v>2694769.08</v>
          </cell>
          <cell r="E16">
            <v>114956957.76000001</v>
          </cell>
          <cell r="F16">
            <v>8410263.2300000023</v>
          </cell>
          <cell r="G16"/>
          <cell r="H16">
            <v>1602</v>
          </cell>
          <cell r="L16">
            <v>149</v>
          </cell>
          <cell r="M16">
            <v>42299354.049999997</v>
          </cell>
          <cell r="N16">
            <v>190590</v>
          </cell>
          <cell r="O16">
            <v>9789880.3000000007</v>
          </cell>
          <cell r="Q16">
            <v>19</v>
          </cell>
          <cell r="R16">
            <v>384038</v>
          </cell>
          <cell r="T16">
            <v>759281.15</v>
          </cell>
          <cell r="U16">
            <v>-113427.39999999998</v>
          </cell>
        </row>
        <row r="17">
          <cell r="C17">
            <v>137062395.62000003</v>
          </cell>
          <cell r="D17">
            <v>2398132.62</v>
          </cell>
          <cell r="E17">
            <v>125017935.54000001</v>
          </cell>
          <cell r="F17">
            <v>9646327.4600000046</v>
          </cell>
          <cell r="G17"/>
          <cell r="H17">
            <v>1602</v>
          </cell>
          <cell r="L17">
            <v>148</v>
          </cell>
          <cell r="M17">
            <v>49783852</v>
          </cell>
          <cell r="N17">
            <v>342700</v>
          </cell>
          <cell r="O17">
            <v>6158735.5</v>
          </cell>
          <cell r="Q17">
            <v>19</v>
          </cell>
          <cell r="R17">
            <v>444212</v>
          </cell>
          <cell r="T17">
            <v>750783.65</v>
          </cell>
          <cell r="U17">
            <v>17629.850000000009</v>
          </cell>
        </row>
        <row r="18">
          <cell r="C18">
            <v>132829121.39</v>
          </cell>
          <cell r="D18">
            <v>2869710.6</v>
          </cell>
          <cell r="E18">
            <v>120788404.97</v>
          </cell>
          <cell r="F18">
            <v>9171005.8200000022</v>
          </cell>
          <cell r="G18"/>
          <cell r="H18">
            <v>1602</v>
          </cell>
          <cell r="L18">
            <v>147.48387096774192</v>
          </cell>
          <cell r="M18">
            <v>46846681.5</v>
          </cell>
          <cell r="N18">
            <v>436355</v>
          </cell>
          <cell r="O18">
            <v>9839709.25</v>
          </cell>
          <cell r="Q18">
            <v>19</v>
          </cell>
          <cell r="R18">
            <v>386077</v>
          </cell>
          <cell r="T18">
            <v>1076076.95</v>
          </cell>
          <cell r="U18">
            <v>186543.69999999998</v>
          </cell>
        </row>
        <row r="19">
          <cell r="C19">
            <v>128122137.04999998</v>
          </cell>
          <cell r="D19">
            <v>2531651.12</v>
          </cell>
          <cell r="E19">
            <v>116716263.14</v>
          </cell>
          <cell r="F19">
            <v>8874222.790000001</v>
          </cell>
          <cell r="G19"/>
          <cell r="H19">
            <v>1602</v>
          </cell>
          <cell r="L19">
            <v>147</v>
          </cell>
          <cell r="M19">
            <v>42990753</v>
          </cell>
          <cell r="N19">
            <v>388655</v>
          </cell>
          <cell r="O19">
            <v>10464157.75</v>
          </cell>
          <cell r="Q19">
            <v>19</v>
          </cell>
          <cell r="R19">
            <v>372966</v>
          </cell>
          <cell r="T19">
            <v>2388674.7000000002</v>
          </cell>
          <cell r="U19">
            <v>267735.39999999997</v>
          </cell>
        </row>
        <row r="20">
          <cell r="C20">
            <v>119223016.33999999</v>
          </cell>
          <cell r="D20">
            <v>2413051.65</v>
          </cell>
          <cell r="E20">
            <v>108758621.65000001</v>
          </cell>
          <cell r="F20">
            <v>8051343.0399999991</v>
          </cell>
          <cell r="G20"/>
          <cell r="H20">
            <v>1602</v>
          </cell>
          <cell r="L20">
            <v>140</v>
          </cell>
          <cell r="M20">
            <v>44005887</v>
          </cell>
          <cell r="N20">
            <v>370285</v>
          </cell>
          <cell r="O20">
            <v>8049147</v>
          </cell>
          <cell r="Q20">
            <v>19</v>
          </cell>
          <cell r="R20">
            <v>392491</v>
          </cell>
          <cell r="T20">
            <v>1562371.45</v>
          </cell>
          <cell r="U20">
            <v>113279.75</v>
          </cell>
        </row>
        <row r="21">
          <cell r="C21">
            <v>113037722.31999999</v>
          </cell>
          <cell r="D21">
            <v>2210186.0699999998</v>
          </cell>
          <cell r="E21">
            <v>102746984.11</v>
          </cell>
          <cell r="F21">
            <v>8080552.1399999978</v>
          </cell>
          <cell r="G21"/>
          <cell r="H21">
            <v>1602</v>
          </cell>
          <cell r="L21">
            <v>133</v>
          </cell>
          <cell r="M21">
            <v>38991768</v>
          </cell>
          <cell r="N21">
            <v>382600</v>
          </cell>
          <cell r="O21">
            <v>7314070.5</v>
          </cell>
          <cell r="Q21">
            <v>19</v>
          </cell>
          <cell r="R21">
            <v>374527</v>
          </cell>
          <cell r="T21">
            <v>3453422.25</v>
          </cell>
          <cell r="U21">
            <v>-44115.600000000013</v>
          </cell>
        </row>
        <row r="22">
          <cell r="C22">
            <v>116100948.22999997</v>
          </cell>
          <cell r="D22">
            <v>2559349.64</v>
          </cell>
          <cell r="E22">
            <v>105470326.06</v>
          </cell>
          <cell r="F22">
            <v>8071272.5299999947</v>
          </cell>
          <cell r="G22"/>
          <cell r="H22">
            <v>1605.2903225806451</v>
          </cell>
          <cell r="L22">
            <v>133</v>
          </cell>
          <cell r="M22">
            <v>46932720</v>
          </cell>
          <cell r="N22">
            <v>528975</v>
          </cell>
          <cell r="O22">
            <v>6715210.5</v>
          </cell>
          <cell r="Q22">
            <v>19</v>
          </cell>
          <cell r="R22">
            <v>440491</v>
          </cell>
          <cell r="T22">
            <v>2318561.8000000003</v>
          </cell>
          <cell r="U22">
            <v>97044.800000000061</v>
          </cell>
        </row>
        <row r="23">
          <cell r="C23">
            <v>99062372.530000001</v>
          </cell>
          <cell r="D23">
            <v>2232115.0099999998</v>
          </cell>
          <cell r="E23">
            <v>89957995.519999996</v>
          </cell>
          <cell r="F23">
            <v>6872262</v>
          </cell>
          <cell r="G23"/>
          <cell r="H23">
            <v>1636</v>
          </cell>
          <cell r="L23">
            <v>133</v>
          </cell>
          <cell r="M23">
            <v>39301403</v>
          </cell>
          <cell r="N23">
            <v>460625</v>
          </cell>
          <cell r="O23">
            <v>8341703</v>
          </cell>
          <cell r="Q23">
            <v>19</v>
          </cell>
          <cell r="R23">
            <v>321422</v>
          </cell>
          <cell r="T23">
            <v>1727296.9500000002</v>
          </cell>
          <cell r="U23">
            <v>-14074.90000000002</v>
          </cell>
        </row>
        <row r="24">
          <cell r="C24">
            <v>108924924.75</v>
          </cell>
          <cell r="D24">
            <v>2406203.04</v>
          </cell>
          <cell r="E24">
            <v>99149977.650000006</v>
          </cell>
          <cell r="F24">
            <v>7368744.0599999977</v>
          </cell>
          <cell r="G24"/>
          <cell r="H24">
            <v>1636</v>
          </cell>
          <cell r="L24">
            <v>133</v>
          </cell>
          <cell r="M24">
            <v>40929912.25</v>
          </cell>
          <cell r="N24">
            <v>535885</v>
          </cell>
          <cell r="O24">
            <v>8785030.75</v>
          </cell>
          <cell r="Q24">
            <v>19</v>
          </cell>
          <cell r="R24">
            <v>350456</v>
          </cell>
          <cell r="T24">
            <v>1091673.5999999999</v>
          </cell>
          <cell r="U24">
            <v>-101441.50000000001</v>
          </cell>
        </row>
        <row r="25">
          <cell r="C25">
            <v>123107568.73999998</v>
          </cell>
          <cell r="D25">
            <v>2527374.9</v>
          </cell>
          <cell r="E25">
            <v>111861444.37</v>
          </cell>
          <cell r="F25">
            <v>8718749.4699999988</v>
          </cell>
          <cell r="G25"/>
          <cell r="H25">
            <v>1636</v>
          </cell>
          <cell r="L25">
            <v>133</v>
          </cell>
          <cell r="M25">
            <v>44690858</v>
          </cell>
          <cell r="N25">
            <v>580605</v>
          </cell>
          <cell r="O25">
            <v>8312892.5</v>
          </cell>
          <cell r="Q25">
            <v>19</v>
          </cell>
          <cell r="R25">
            <v>408718</v>
          </cell>
          <cell r="T25">
            <v>735038.29999999993</v>
          </cell>
          <cell r="U25">
            <v>94798.299999999974</v>
          </cell>
        </row>
        <row r="26">
          <cell r="H26">
            <v>1611.22</v>
          </cell>
          <cell r="L26">
            <v>141.20698924731184</v>
          </cell>
        </row>
        <row r="36">
          <cell r="C36">
            <v>15439123.245000001</v>
          </cell>
          <cell r="D36">
            <v>3548330.705000001</v>
          </cell>
          <cell r="E36">
            <v>12402.42</v>
          </cell>
          <cell r="F36">
            <v>6000</v>
          </cell>
        </row>
        <row r="37">
          <cell r="C37">
            <v>13539578.990000002</v>
          </cell>
          <cell r="D37">
            <v>3534861.0100000012</v>
          </cell>
          <cell r="E37">
            <v>16601.57</v>
          </cell>
          <cell r="F37">
            <v>0</v>
          </cell>
        </row>
        <row r="38">
          <cell r="C38">
            <v>14941626.071000002</v>
          </cell>
          <cell r="D38">
            <v>3529128.0590000004</v>
          </cell>
          <cell r="E38">
            <v>21806.03</v>
          </cell>
          <cell r="F38">
            <v>0</v>
          </cell>
        </row>
        <row r="39">
          <cell r="C39">
            <v>12710948.837000003</v>
          </cell>
          <cell r="D39">
            <v>3555955.9730000012</v>
          </cell>
          <cell r="E39">
            <v>15559.869999999999</v>
          </cell>
          <cell r="F39">
            <v>0</v>
          </cell>
        </row>
        <row r="40">
          <cell r="C40">
            <v>15790801.029000001</v>
          </cell>
          <cell r="D40">
            <v>3792534.7410000009</v>
          </cell>
          <cell r="E40">
            <v>19040.86</v>
          </cell>
          <cell r="F40">
            <v>0</v>
          </cell>
        </row>
        <row r="41">
          <cell r="C41">
            <v>16206329.188000001</v>
          </cell>
          <cell r="D41">
            <v>3772752.7520000003</v>
          </cell>
          <cell r="E41">
            <v>22882.59</v>
          </cell>
          <cell r="F41">
            <v>15000</v>
          </cell>
        </row>
        <row r="42">
          <cell r="C42">
            <v>13335366.103</v>
          </cell>
          <cell r="D42">
            <v>3270894.6869999995</v>
          </cell>
          <cell r="E42">
            <v>18715.03</v>
          </cell>
          <cell r="F42">
            <v>0</v>
          </cell>
        </row>
        <row r="43">
          <cell r="C43">
            <v>12536420.207999999</v>
          </cell>
          <cell r="D43">
            <v>3188613.831999999</v>
          </cell>
          <cell r="E43">
            <v>28347.090000000004</v>
          </cell>
          <cell r="F43">
            <v>0</v>
          </cell>
        </row>
        <row r="44">
          <cell r="C44">
            <v>12177362.440999996</v>
          </cell>
          <cell r="D44">
            <v>3146656.3889999981</v>
          </cell>
          <cell r="E44">
            <v>14692.1</v>
          </cell>
          <cell r="F44">
            <v>0</v>
          </cell>
        </row>
        <row r="45">
          <cell r="C45">
            <v>12594728.489999998</v>
          </cell>
          <cell r="D45">
            <v>2926583.61</v>
          </cell>
          <cell r="E45">
            <v>22968.39</v>
          </cell>
          <cell r="F45">
            <v>0</v>
          </cell>
        </row>
        <row r="46">
          <cell r="C46">
            <v>13288761.566999998</v>
          </cell>
          <cell r="D46">
            <v>3114027.7429999993</v>
          </cell>
          <cell r="E46">
            <v>16579.84</v>
          </cell>
          <cell r="F46">
            <v>0</v>
          </cell>
        </row>
        <row r="47">
          <cell r="C47">
            <v>14037892.548999999</v>
          </cell>
          <cell r="D47">
            <v>3497265.7209999999</v>
          </cell>
          <cell r="E47">
            <v>16344.780000000002</v>
          </cell>
          <cell r="F47">
            <v>0</v>
          </cell>
        </row>
      </sheetData>
      <sheetData sheetId="3"/>
      <sheetData sheetId="4"/>
      <sheetData sheetId="5">
        <row r="19">
          <cell r="C19">
            <v>83435987.530000001</v>
          </cell>
          <cell r="D19">
            <v>655230.36</v>
          </cell>
          <cell r="E19">
            <v>75869636.430000007</v>
          </cell>
          <cell r="F19">
            <v>6911120.7400000002</v>
          </cell>
          <cell r="H19">
            <v>832.91</v>
          </cell>
          <cell r="L19">
            <v>33</v>
          </cell>
          <cell r="M19">
            <v>12073744</v>
          </cell>
          <cell r="N19">
            <v>48275</v>
          </cell>
          <cell r="O19">
            <v>2535474.25</v>
          </cell>
          <cell r="Q19">
            <v>0</v>
          </cell>
          <cell r="R19">
            <v>0</v>
          </cell>
          <cell r="T19">
            <v>285295.09999999998</v>
          </cell>
          <cell r="V19">
            <v>9731890.0899999999</v>
          </cell>
        </row>
        <row r="20">
          <cell r="C20">
            <v>124067324.95</v>
          </cell>
          <cell r="D20">
            <v>2465328.25</v>
          </cell>
          <cell r="E20">
            <v>112723973.63</v>
          </cell>
          <cell r="F20">
            <v>8878023.0700000003</v>
          </cell>
          <cell r="H20">
            <v>1121</v>
          </cell>
          <cell r="L20">
            <v>47.8</v>
          </cell>
          <cell r="M20">
            <v>24133264.75</v>
          </cell>
          <cell r="N20">
            <v>112750</v>
          </cell>
          <cell r="O20">
            <v>4411641.5</v>
          </cell>
          <cell r="Q20">
            <v>0</v>
          </cell>
          <cell r="R20">
            <v>0</v>
          </cell>
          <cell r="T20">
            <v>470076.22</v>
          </cell>
          <cell r="V20">
            <v>13759740.790000001</v>
          </cell>
        </row>
        <row r="21">
          <cell r="C21">
            <v>101882577.58</v>
          </cell>
          <cell r="D21">
            <v>2282567.7599999998</v>
          </cell>
          <cell r="E21">
            <v>92799858.140000001</v>
          </cell>
          <cell r="F21">
            <v>6800151.6799999997</v>
          </cell>
          <cell r="H21">
            <v>1333</v>
          </cell>
          <cell r="L21">
            <v>50.9</v>
          </cell>
          <cell r="M21">
            <v>22620207.280000001</v>
          </cell>
          <cell r="N21">
            <v>89325</v>
          </cell>
          <cell r="O21">
            <v>3537560.78</v>
          </cell>
          <cell r="Q21">
            <v>0</v>
          </cell>
          <cell r="R21">
            <v>0</v>
          </cell>
          <cell r="T21">
            <v>274323.58</v>
          </cell>
          <cell r="V21">
            <v>10612036.039999999</v>
          </cell>
        </row>
        <row r="22">
          <cell r="C22">
            <v>97370120.060000002</v>
          </cell>
          <cell r="D22">
            <v>2265042.25</v>
          </cell>
          <cell r="E22">
            <v>89202276.739999995</v>
          </cell>
          <cell r="F22">
            <v>5902801.0700000003</v>
          </cell>
          <cell r="H22">
            <v>1433.87</v>
          </cell>
          <cell r="L22">
            <v>56.58</v>
          </cell>
          <cell r="M22">
            <v>28606006.75</v>
          </cell>
          <cell r="N22">
            <v>158345</v>
          </cell>
          <cell r="O22">
            <v>4107662.75</v>
          </cell>
          <cell r="Q22">
            <v>0</v>
          </cell>
          <cell r="R22">
            <v>0</v>
          </cell>
          <cell r="T22">
            <v>108947.58</v>
          </cell>
          <cell r="V22">
            <v>10119411.4</v>
          </cell>
        </row>
        <row r="23">
          <cell r="C23">
            <v>113329501.38</v>
          </cell>
          <cell r="D23">
            <v>2702713.18</v>
          </cell>
          <cell r="E23">
            <v>102844390.45</v>
          </cell>
          <cell r="F23">
            <v>7782397.75</v>
          </cell>
          <cell r="H23">
            <v>1453</v>
          </cell>
          <cell r="L23">
            <v>56.58</v>
          </cell>
          <cell r="M23">
            <v>24405359</v>
          </cell>
          <cell r="N23">
            <v>145875</v>
          </cell>
          <cell r="O23">
            <v>3324894.5</v>
          </cell>
          <cell r="Q23">
            <v>0</v>
          </cell>
          <cell r="R23">
            <v>0</v>
          </cell>
          <cell r="T23">
            <v>479556.66</v>
          </cell>
          <cell r="V23">
            <v>11586848.91</v>
          </cell>
        </row>
        <row r="24">
          <cell r="C24">
            <v>97433391.680000007</v>
          </cell>
          <cell r="D24">
            <v>1944114.19</v>
          </cell>
          <cell r="E24">
            <v>88445051.670000002</v>
          </cell>
          <cell r="F24">
            <v>7044225.8200000003</v>
          </cell>
          <cell r="H24">
            <v>1458</v>
          </cell>
          <cell r="L24">
            <v>52.42</v>
          </cell>
          <cell r="M24">
            <v>23567344</v>
          </cell>
          <cell r="N24">
            <v>138620</v>
          </cell>
          <cell r="O24">
            <v>3085635.75</v>
          </cell>
          <cell r="Q24">
            <v>0</v>
          </cell>
          <cell r="R24">
            <v>0</v>
          </cell>
          <cell r="T24">
            <v>157097.59</v>
          </cell>
          <cell r="V24">
            <v>10286959.16</v>
          </cell>
        </row>
        <row r="25">
          <cell r="C25">
            <v>121567041.73</v>
          </cell>
          <cell r="D25">
            <v>1992955.7</v>
          </cell>
          <cell r="E25">
            <v>110186722.44</v>
          </cell>
          <cell r="F25">
            <v>9387363.5899999999</v>
          </cell>
          <cell r="H25">
            <v>1491.93</v>
          </cell>
          <cell r="L25">
            <v>54.03</v>
          </cell>
          <cell r="M25">
            <v>27709012.5</v>
          </cell>
          <cell r="N25">
            <v>114995</v>
          </cell>
          <cell r="O25">
            <v>4189736.5</v>
          </cell>
          <cell r="Q25">
            <v>0</v>
          </cell>
          <cell r="R25">
            <v>0</v>
          </cell>
          <cell r="T25">
            <v>204009.69</v>
          </cell>
          <cell r="V25">
            <v>13781109.779999999</v>
          </cell>
        </row>
        <row r="26">
          <cell r="H26">
            <v>1321.76</v>
          </cell>
        </row>
        <row r="41">
          <cell r="C41">
            <v>6754476.0663999999</v>
          </cell>
          <cell r="D41">
            <v>2977414.0236000004</v>
          </cell>
          <cell r="E41">
            <v>11989.11</v>
          </cell>
          <cell r="F41">
            <v>-9382</v>
          </cell>
        </row>
        <row r="42">
          <cell r="C42">
            <v>9809140.0207000002</v>
          </cell>
          <cell r="D42">
            <v>3950600.7693000003</v>
          </cell>
          <cell r="E42">
            <v>12813.17</v>
          </cell>
          <cell r="F42">
            <v>0</v>
          </cell>
        </row>
        <row r="43">
          <cell r="C43">
            <v>7578788.4487999994</v>
          </cell>
          <cell r="D43">
            <v>3033247.5911999997</v>
          </cell>
          <cell r="E43">
            <v>11623.6</v>
          </cell>
          <cell r="F43">
            <v>0</v>
          </cell>
        </row>
        <row r="44">
          <cell r="C44">
            <v>7395657.9496999998</v>
          </cell>
          <cell r="D44">
            <v>2723753.4503000006</v>
          </cell>
          <cell r="E44">
            <v>19190.21</v>
          </cell>
          <cell r="F44">
            <v>0</v>
          </cell>
        </row>
        <row r="45">
          <cell r="C45">
            <v>8171268.6714999992</v>
          </cell>
          <cell r="D45">
            <v>3415580.2385</v>
          </cell>
          <cell r="E45">
            <v>11577.1</v>
          </cell>
          <cell r="F45">
            <v>0</v>
          </cell>
        </row>
        <row r="46">
          <cell r="C46">
            <v>7215437.7561999997</v>
          </cell>
          <cell r="D46">
            <v>3071521.4038000004</v>
          </cell>
          <cell r="E46">
            <v>16614.939999999999</v>
          </cell>
          <cell r="F46">
            <v>0</v>
          </cell>
        </row>
        <row r="47">
          <cell r="C47">
            <v>9680663.3608999997</v>
          </cell>
          <cell r="D47">
            <v>4100446.4191000001</v>
          </cell>
          <cell r="E47">
            <v>14688.66</v>
          </cell>
          <cell r="F47">
            <v>0</v>
          </cell>
        </row>
      </sheetData>
      <sheetData sheetId="6">
        <row r="14">
          <cell r="C14">
            <v>129314048.48999999</v>
          </cell>
          <cell r="D14">
            <v>2432154.2000000002</v>
          </cell>
          <cell r="E14">
            <v>117809100.22</v>
          </cell>
          <cell r="F14">
            <v>9072794.0700000003</v>
          </cell>
          <cell r="H14">
            <v>1804</v>
          </cell>
          <cell r="L14">
            <v>133</v>
          </cell>
          <cell r="M14">
            <v>41587901</v>
          </cell>
          <cell r="N14">
            <v>1455340</v>
          </cell>
          <cell r="O14">
            <v>7523617</v>
          </cell>
          <cell r="Q14">
            <v>19</v>
          </cell>
          <cell r="R14">
            <v>363194</v>
          </cell>
          <cell r="T14">
            <v>0</v>
          </cell>
          <cell r="V14">
            <v>16959605.07</v>
          </cell>
        </row>
        <row r="15">
          <cell r="C15">
            <v>152509937.12</v>
          </cell>
          <cell r="D15">
            <v>2666385.42</v>
          </cell>
          <cell r="E15">
            <v>138720168.13</v>
          </cell>
          <cell r="F15">
            <v>11123383.57</v>
          </cell>
          <cell r="H15">
            <v>1612</v>
          </cell>
          <cell r="L15">
            <v>133</v>
          </cell>
          <cell r="M15">
            <v>37985234.049999997</v>
          </cell>
          <cell r="N15">
            <v>1555895</v>
          </cell>
          <cell r="O15">
            <v>3003856.8</v>
          </cell>
          <cell r="Q15">
            <v>19</v>
          </cell>
          <cell r="R15">
            <v>362108</v>
          </cell>
          <cell r="T15">
            <v>0</v>
          </cell>
          <cell r="V15">
            <v>14489348.370000001</v>
          </cell>
        </row>
        <row r="16">
          <cell r="C16">
            <v>153375752.16</v>
          </cell>
          <cell r="D16">
            <v>2299919.14</v>
          </cell>
          <cell r="E16">
            <v>139235074.81999999</v>
          </cell>
          <cell r="F16">
            <v>11840758.199999999</v>
          </cell>
          <cell r="H16">
            <v>1604</v>
          </cell>
          <cell r="L16">
            <v>132</v>
          </cell>
          <cell r="M16">
            <v>51701152.509999998</v>
          </cell>
          <cell r="N16">
            <v>1761005</v>
          </cell>
          <cell r="O16">
            <v>8154978.5099999998</v>
          </cell>
          <cell r="Q16">
            <v>19</v>
          </cell>
          <cell r="R16">
            <v>355366.25</v>
          </cell>
          <cell r="T16">
            <v>0</v>
          </cell>
          <cell r="V16">
            <v>20351102.960000001</v>
          </cell>
        </row>
        <row r="17">
          <cell r="C17">
            <v>166444393.44</v>
          </cell>
          <cell r="D17">
            <v>3988847.26</v>
          </cell>
          <cell r="E17">
            <v>150734438.41</v>
          </cell>
          <cell r="F17">
            <v>11721107.77</v>
          </cell>
          <cell r="H17">
            <v>1600</v>
          </cell>
          <cell r="L17">
            <v>132</v>
          </cell>
          <cell r="M17">
            <v>55583721.75</v>
          </cell>
          <cell r="N17">
            <v>760925</v>
          </cell>
          <cell r="O17">
            <v>8615364</v>
          </cell>
          <cell r="Q17">
            <v>19</v>
          </cell>
          <cell r="R17">
            <v>428414</v>
          </cell>
          <cell r="T17">
            <v>0</v>
          </cell>
          <cell r="V17">
            <v>20764885.77</v>
          </cell>
        </row>
        <row r="18">
          <cell r="C18">
            <v>167179749.75999999</v>
          </cell>
          <cell r="D18">
            <v>4108977.02</v>
          </cell>
          <cell r="E18">
            <v>151920495.94999999</v>
          </cell>
          <cell r="F18">
            <v>11150276.789999999</v>
          </cell>
          <cell r="H18">
            <v>1600</v>
          </cell>
          <cell r="L18">
            <v>132</v>
          </cell>
          <cell r="M18">
            <v>50263537</v>
          </cell>
          <cell r="N18">
            <v>310835</v>
          </cell>
          <cell r="O18">
            <v>10775422.5</v>
          </cell>
          <cell r="Q18">
            <v>20</v>
          </cell>
          <cell r="R18">
            <v>464885.01</v>
          </cell>
          <cell r="T18">
            <v>67880.850000000006</v>
          </cell>
          <cell r="V18">
            <v>22458465.149999999</v>
          </cell>
        </row>
        <row r="19">
          <cell r="C19">
            <v>148298739.94999999</v>
          </cell>
          <cell r="D19">
            <v>3659655.7</v>
          </cell>
          <cell r="E19">
            <v>134162876.12</v>
          </cell>
          <cell r="F19">
            <v>10476208.130000001</v>
          </cell>
          <cell r="H19">
            <v>1603</v>
          </cell>
          <cell r="L19">
            <v>132</v>
          </cell>
          <cell r="M19">
            <v>38981021.049999997</v>
          </cell>
          <cell r="N19">
            <v>300935</v>
          </cell>
          <cell r="O19">
            <v>6961354.5499999998</v>
          </cell>
          <cell r="Q19">
            <v>20</v>
          </cell>
          <cell r="R19">
            <v>377339</v>
          </cell>
          <cell r="T19">
            <v>381210.13</v>
          </cell>
          <cell r="V19">
            <v>18196111.809999999</v>
          </cell>
        </row>
        <row r="20">
          <cell r="C20">
            <v>142737709.94</v>
          </cell>
          <cell r="D20">
            <v>3893780.93</v>
          </cell>
          <cell r="E20">
            <v>129507846.56</v>
          </cell>
          <cell r="F20">
            <v>9336082.4499999993</v>
          </cell>
          <cell r="H20">
            <v>1610</v>
          </cell>
          <cell r="L20">
            <v>132</v>
          </cell>
          <cell r="M20">
            <v>37246769.100000001</v>
          </cell>
          <cell r="N20">
            <v>453240</v>
          </cell>
          <cell r="O20">
            <v>6192456.3499999996</v>
          </cell>
          <cell r="Q20">
            <v>20</v>
          </cell>
          <cell r="R20">
            <v>367056.25</v>
          </cell>
          <cell r="T20">
            <v>506380.33</v>
          </cell>
          <cell r="V20">
            <v>16401975.379999999</v>
          </cell>
        </row>
        <row r="21">
          <cell r="C21">
            <v>149907304.69</v>
          </cell>
          <cell r="D21">
            <v>4527382.79</v>
          </cell>
          <cell r="E21">
            <v>135927101.63999999</v>
          </cell>
          <cell r="F21">
            <v>9452820.2599999998</v>
          </cell>
          <cell r="H21">
            <v>1610</v>
          </cell>
          <cell r="L21">
            <v>132</v>
          </cell>
          <cell r="M21">
            <v>42993747</v>
          </cell>
          <cell r="N21">
            <v>567375</v>
          </cell>
          <cell r="O21">
            <v>6774883</v>
          </cell>
          <cell r="Q21">
            <v>20</v>
          </cell>
          <cell r="R21">
            <v>393073</v>
          </cell>
          <cell r="T21">
            <v>467356</v>
          </cell>
          <cell r="V21">
            <v>17088132.259999998</v>
          </cell>
        </row>
        <row r="22">
          <cell r="C22">
            <v>123423462.48</v>
          </cell>
          <cell r="D22">
            <v>3339015.91</v>
          </cell>
          <cell r="E22">
            <v>111658537.25</v>
          </cell>
          <cell r="F22">
            <v>8425909.3200000003</v>
          </cell>
          <cell r="H22">
            <v>1610</v>
          </cell>
          <cell r="L22">
            <v>132</v>
          </cell>
          <cell r="M22">
            <v>36958844.049999997</v>
          </cell>
          <cell r="N22">
            <v>559645</v>
          </cell>
          <cell r="O22">
            <v>7670539.0499999998</v>
          </cell>
          <cell r="Q22">
            <v>20</v>
          </cell>
          <cell r="R22">
            <v>385255</v>
          </cell>
          <cell r="T22">
            <v>65235.78</v>
          </cell>
          <cell r="V22">
            <v>16546939.15</v>
          </cell>
        </row>
        <row r="23">
          <cell r="C23">
            <v>135928165.18000001</v>
          </cell>
          <cell r="D23">
            <v>3879950.02</v>
          </cell>
          <cell r="E23">
            <v>123553822.67</v>
          </cell>
          <cell r="F23">
            <v>8494392.4900000002</v>
          </cell>
          <cell r="H23">
            <v>1610</v>
          </cell>
          <cell r="L23">
            <v>132</v>
          </cell>
          <cell r="M23">
            <v>37428703.600000001</v>
          </cell>
          <cell r="N23">
            <v>614440</v>
          </cell>
          <cell r="O23">
            <v>6930820.0999999996</v>
          </cell>
          <cell r="Q23">
            <v>20</v>
          </cell>
          <cell r="R23">
            <v>417787.35</v>
          </cell>
          <cell r="T23">
            <v>395658.96</v>
          </cell>
          <cell r="V23">
            <v>16238658.9</v>
          </cell>
        </row>
        <row r="24">
          <cell r="C24">
            <v>142398893.66</v>
          </cell>
          <cell r="D24">
            <v>3052015.29</v>
          </cell>
          <cell r="E24">
            <v>129106670.23</v>
          </cell>
          <cell r="F24">
            <v>10240208.140000001</v>
          </cell>
          <cell r="H24">
            <v>1610</v>
          </cell>
          <cell r="L24">
            <v>132</v>
          </cell>
          <cell r="M24">
            <v>36671389.350000001</v>
          </cell>
          <cell r="N24">
            <v>499220</v>
          </cell>
          <cell r="O24">
            <v>9075370.8499999996</v>
          </cell>
          <cell r="Q24">
            <v>20</v>
          </cell>
          <cell r="R24">
            <v>403852</v>
          </cell>
          <cell r="T24">
            <v>-145007.70000000001</v>
          </cell>
          <cell r="V24">
            <v>19574423.290000003</v>
          </cell>
        </row>
        <row r="25">
          <cell r="C25">
            <v>55068177.180000007</v>
          </cell>
          <cell r="D25">
            <v>1110022.32</v>
          </cell>
          <cell r="E25">
            <v>49687543.240000002</v>
          </cell>
          <cell r="F25">
            <v>4270611.6199999992</v>
          </cell>
          <cell r="H25">
            <v>1610</v>
          </cell>
          <cell r="L25">
            <v>132</v>
          </cell>
          <cell r="M25">
            <v>15738442.550000001</v>
          </cell>
          <cell r="N25">
            <v>221345</v>
          </cell>
          <cell r="O25">
            <v>2524222.0499999998</v>
          </cell>
          <cell r="Q25">
            <v>20</v>
          </cell>
          <cell r="R25">
            <v>173796</v>
          </cell>
          <cell r="T25">
            <v>-3303.75</v>
          </cell>
          <cell r="V25">
            <v>6965325.919999999</v>
          </cell>
        </row>
        <row r="26">
          <cell r="H26">
            <v>1624</v>
          </cell>
          <cell r="L26">
            <v>132</v>
          </cell>
          <cell r="Q26">
            <v>20</v>
          </cell>
        </row>
        <row r="36">
          <cell r="C36">
            <v>12632534.2827</v>
          </cell>
          <cell r="D36">
            <v>4327070.7873</v>
          </cell>
          <cell r="E36">
            <v>16952.509999999998</v>
          </cell>
          <cell r="F36">
            <v>-2500</v>
          </cell>
        </row>
        <row r="37">
          <cell r="C37">
            <v>9814632.2976999991</v>
          </cell>
          <cell r="D37">
            <v>4674716.0723000001</v>
          </cell>
          <cell r="E37">
            <v>16536.96</v>
          </cell>
          <cell r="F37">
            <v>0</v>
          </cell>
        </row>
        <row r="38">
          <cell r="C38">
            <v>14882172.785999998</v>
          </cell>
          <cell r="D38">
            <v>5468930.1739999996</v>
          </cell>
          <cell r="E38">
            <v>18873.2</v>
          </cell>
          <cell r="F38">
            <v>0</v>
          </cell>
        </row>
        <row r="39">
          <cell r="C39">
            <v>15289275.9397</v>
          </cell>
          <cell r="D39">
            <v>5475609.8302999996</v>
          </cell>
          <cell r="E39">
            <v>22849.39</v>
          </cell>
          <cell r="F39">
            <v>0</v>
          </cell>
        </row>
        <row r="40">
          <cell r="C40">
            <v>16979038.365899999</v>
          </cell>
          <cell r="D40">
            <v>5479426.7840999998</v>
          </cell>
          <cell r="E40">
            <v>15731.81</v>
          </cell>
          <cell r="F40">
            <v>0</v>
          </cell>
        </row>
        <row r="41">
          <cell r="C41">
            <v>13338400.271299999</v>
          </cell>
          <cell r="D41">
            <v>4857711.5387000004</v>
          </cell>
          <cell r="E41">
            <v>13710.13</v>
          </cell>
          <cell r="F41">
            <v>0</v>
          </cell>
        </row>
        <row r="42">
          <cell r="C42">
            <v>12054313.931499999</v>
          </cell>
          <cell r="D42">
            <v>4347661.4484999999</v>
          </cell>
          <cell r="E42">
            <v>14554.36</v>
          </cell>
          <cell r="F42">
            <v>1000</v>
          </cell>
        </row>
        <row r="43">
          <cell r="C43">
            <v>12638001.158599999</v>
          </cell>
          <cell r="D43">
            <v>4450131.1014</v>
          </cell>
          <cell r="E43">
            <v>12174.37</v>
          </cell>
          <cell r="F43">
            <v>0</v>
          </cell>
        </row>
        <row r="44">
          <cell r="C44">
            <v>12448731.532200001</v>
          </cell>
          <cell r="D44">
            <v>4098207.6178000001</v>
          </cell>
          <cell r="E44">
            <v>9083.27</v>
          </cell>
          <cell r="F44">
            <v>0</v>
          </cell>
        </row>
        <row r="45">
          <cell r="C45">
            <v>12151419.187899999</v>
          </cell>
          <cell r="D45">
            <v>4087239.7121000001</v>
          </cell>
          <cell r="E45">
            <v>12717.63</v>
          </cell>
          <cell r="F45">
            <v>0</v>
          </cell>
        </row>
        <row r="46">
          <cell r="C46">
            <v>14647320.600400001</v>
          </cell>
          <cell r="D46">
            <v>4927102.6896000002</v>
          </cell>
          <cell r="E46">
            <v>10735.18</v>
          </cell>
          <cell r="F46">
            <v>0</v>
          </cell>
        </row>
        <row r="47">
          <cell r="C47">
            <v>5030315.9582000002</v>
          </cell>
          <cell r="D47">
            <v>1935009.9617999997</v>
          </cell>
          <cell r="E47">
            <v>6519.92</v>
          </cell>
          <cell r="F47">
            <v>0</v>
          </cell>
        </row>
      </sheetData>
      <sheetData sheetId="7">
        <row r="14">
          <cell r="C14">
            <v>100287572.79000001</v>
          </cell>
          <cell r="D14">
            <v>2335540.16</v>
          </cell>
          <cell r="E14">
            <v>91632302.390000001</v>
          </cell>
          <cell r="F14">
            <v>6319730.2400000002</v>
          </cell>
          <cell r="H14">
            <v>2151</v>
          </cell>
          <cell r="L14">
            <v>131</v>
          </cell>
          <cell r="M14">
            <v>34365447.5</v>
          </cell>
          <cell r="N14">
            <v>956450</v>
          </cell>
          <cell r="O14">
            <v>4090363</v>
          </cell>
          <cell r="Q14">
            <v>19</v>
          </cell>
          <cell r="R14">
            <v>417874</v>
          </cell>
          <cell r="T14">
            <v>10827967.24</v>
          </cell>
        </row>
        <row r="15">
          <cell r="C15">
            <v>108040745.47</v>
          </cell>
          <cell r="D15">
            <v>2320325.75</v>
          </cell>
          <cell r="E15">
            <v>99135914.840000004</v>
          </cell>
          <cell r="F15">
            <v>6584504.8799999999</v>
          </cell>
          <cell r="H15">
            <v>2154.38</v>
          </cell>
          <cell r="L15">
            <v>135</v>
          </cell>
          <cell r="M15">
            <v>38103107</v>
          </cell>
          <cell r="N15">
            <v>1891560</v>
          </cell>
          <cell r="O15">
            <v>4729563.25</v>
          </cell>
          <cell r="Q15">
            <v>19</v>
          </cell>
          <cell r="R15">
            <v>399386</v>
          </cell>
          <cell r="T15">
            <v>11713454.129999999</v>
          </cell>
        </row>
        <row r="16">
          <cell r="C16">
            <v>103626688.37</v>
          </cell>
          <cell r="D16">
            <v>2157429.14</v>
          </cell>
          <cell r="E16">
            <v>94639137.019999996</v>
          </cell>
          <cell r="F16">
            <v>6830122.21</v>
          </cell>
          <cell r="H16">
            <v>2156</v>
          </cell>
          <cell r="L16">
            <v>135</v>
          </cell>
          <cell r="M16">
            <v>40632569</v>
          </cell>
          <cell r="N16">
            <v>2116175</v>
          </cell>
          <cell r="O16">
            <v>5992063.5</v>
          </cell>
          <cell r="Q16">
            <v>19</v>
          </cell>
          <cell r="R16">
            <v>405221</v>
          </cell>
          <cell r="T16">
            <v>13227406.710000001</v>
          </cell>
        </row>
        <row r="17">
          <cell r="C17">
            <v>120496107.03</v>
          </cell>
          <cell r="D17">
            <v>2561631.9700000002</v>
          </cell>
          <cell r="E17">
            <v>110532207.05</v>
          </cell>
          <cell r="F17">
            <v>7402268.0099999998</v>
          </cell>
          <cell r="H17">
            <v>2156</v>
          </cell>
          <cell r="L17">
            <v>135</v>
          </cell>
          <cell r="M17">
            <v>43354130</v>
          </cell>
          <cell r="N17">
            <v>2101406</v>
          </cell>
          <cell r="O17">
            <v>5201617.25</v>
          </cell>
          <cell r="Q17">
            <v>19</v>
          </cell>
          <cell r="R17">
            <v>492130</v>
          </cell>
          <cell r="T17">
            <v>13096015.26</v>
          </cell>
        </row>
        <row r="18">
          <cell r="C18">
            <v>128979677.51000001</v>
          </cell>
          <cell r="D18">
            <v>2817963.03</v>
          </cell>
          <cell r="E18">
            <v>118224493.38</v>
          </cell>
          <cell r="F18">
            <v>7937221.0999999996</v>
          </cell>
          <cell r="H18">
            <v>2156</v>
          </cell>
          <cell r="L18">
            <v>135</v>
          </cell>
          <cell r="M18">
            <v>45119877.5</v>
          </cell>
          <cell r="N18">
            <v>2063100</v>
          </cell>
          <cell r="O18">
            <v>6593889</v>
          </cell>
          <cell r="Q18">
            <v>19</v>
          </cell>
          <cell r="R18">
            <v>457823</v>
          </cell>
          <cell r="T18">
            <v>14988933.1</v>
          </cell>
        </row>
        <row r="19">
          <cell r="C19">
            <v>134116744.20999999</v>
          </cell>
          <cell r="D19">
            <v>2221093.61</v>
          </cell>
          <cell r="E19">
            <v>123248648.52</v>
          </cell>
          <cell r="F19">
            <v>8647002.0800000001</v>
          </cell>
          <cell r="H19">
            <v>2156</v>
          </cell>
          <cell r="L19">
            <v>135</v>
          </cell>
          <cell r="M19">
            <v>35540975</v>
          </cell>
          <cell r="N19">
            <v>1121500</v>
          </cell>
          <cell r="O19">
            <v>6977599.75</v>
          </cell>
          <cell r="Q19">
            <v>19</v>
          </cell>
          <cell r="R19">
            <v>364971</v>
          </cell>
          <cell r="T19">
            <v>15989572.83</v>
          </cell>
        </row>
        <row r="20">
          <cell r="C20">
            <v>110317720.13</v>
          </cell>
          <cell r="D20">
            <v>1647050.24</v>
          </cell>
          <cell r="E20">
            <v>101880837.94</v>
          </cell>
          <cell r="F20">
            <v>6789831.9500000002</v>
          </cell>
          <cell r="H20">
            <v>2156</v>
          </cell>
          <cell r="L20">
            <v>139</v>
          </cell>
          <cell r="M20">
            <v>32004790</v>
          </cell>
          <cell r="N20">
            <v>1115210</v>
          </cell>
          <cell r="O20">
            <v>5188192.25</v>
          </cell>
          <cell r="Q20">
            <v>19</v>
          </cell>
          <cell r="R20">
            <v>351937</v>
          </cell>
          <cell r="T20">
            <v>12329961.199999999</v>
          </cell>
        </row>
        <row r="21">
          <cell r="C21">
            <v>110789289.08</v>
          </cell>
          <cell r="D21">
            <v>1322154.44</v>
          </cell>
          <cell r="E21">
            <v>101559356.14</v>
          </cell>
          <cell r="F21">
            <v>7907778.5</v>
          </cell>
          <cell r="H21">
            <v>2156</v>
          </cell>
          <cell r="L21">
            <v>144</v>
          </cell>
          <cell r="M21">
            <v>31473382</v>
          </cell>
          <cell r="N21">
            <v>637150</v>
          </cell>
          <cell r="O21">
            <v>6239259.25</v>
          </cell>
          <cell r="Q21">
            <v>19</v>
          </cell>
          <cell r="R21">
            <v>370905</v>
          </cell>
          <cell r="T21">
            <v>14517942.75</v>
          </cell>
        </row>
        <row r="22">
          <cell r="C22">
            <v>118073842.06</v>
          </cell>
          <cell r="D22">
            <v>1699325.5</v>
          </cell>
          <cell r="E22">
            <v>106939928.64</v>
          </cell>
          <cell r="F22">
            <v>9434587.9199999999</v>
          </cell>
          <cell r="H22">
            <v>2156</v>
          </cell>
          <cell r="L22">
            <v>144</v>
          </cell>
          <cell r="M22">
            <v>33655360.5</v>
          </cell>
          <cell r="N22">
            <v>943550</v>
          </cell>
          <cell r="O22">
            <v>2610346.75</v>
          </cell>
          <cell r="Q22">
            <v>19</v>
          </cell>
          <cell r="R22">
            <v>414379</v>
          </cell>
          <cell r="T22">
            <v>12459313.67</v>
          </cell>
        </row>
        <row r="23">
          <cell r="C23">
            <v>105531676.87</v>
          </cell>
          <cell r="D23">
            <v>2192484.5699999998</v>
          </cell>
          <cell r="E23">
            <v>95720778.25</v>
          </cell>
          <cell r="F23">
            <v>7618414.0499999998</v>
          </cell>
          <cell r="H23">
            <v>2156</v>
          </cell>
          <cell r="L23">
            <v>144</v>
          </cell>
          <cell r="M23">
            <v>33057064</v>
          </cell>
          <cell r="N23">
            <v>906705</v>
          </cell>
          <cell r="O23">
            <v>5102678.5</v>
          </cell>
          <cell r="Q23">
            <v>19</v>
          </cell>
          <cell r="R23">
            <v>350519</v>
          </cell>
          <cell r="T23">
            <v>13071611.550000001</v>
          </cell>
        </row>
        <row r="24">
          <cell r="C24">
            <v>121928993.06</v>
          </cell>
          <cell r="D24">
            <v>2384212.23</v>
          </cell>
          <cell r="E24">
            <v>110934013.03</v>
          </cell>
          <cell r="F24">
            <v>8610767.8000000007</v>
          </cell>
          <cell r="H24">
            <v>2031</v>
          </cell>
          <cell r="L24">
            <v>134</v>
          </cell>
          <cell r="M24">
            <v>35215000</v>
          </cell>
          <cell r="N24">
            <v>1130425</v>
          </cell>
          <cell r="O24">
            <v>5278400</v>
          </cell>
          <cell r="Q24">
            <v>19</v>
          </cell>
          <cell r="R24">
            <v>369376</v>
          </cell>
          <cell r="T24">
            <v>14258543.800000001</v>
          </cell>
        </row>
        <row r="25">
          <cell r="C25">
            <v>149152021.75999999</v>
          </cell>
          <cell r="D25">
            <v>2875382.46</v>
          </cell>
          <cell r="E25">
            <v>135455245.69</v>
          </cell>
          <cell r="F25">
            <v>10821393.609999999</v>
          </cell>
          <cell r="H25">
            <v>2016</v>
          </cell>
          <cell r="L25">
            <v>133</v>
          </cell>
          <cell r="M25">
            <v>41202315</v>
          </cell>
          <cell r="N25">
            <v>1235015</v>
          </cell>
          <cell r="O25">
            <v>6855501.5</v>
          </cell>
          <cell r="Q25">
            <v>19</v>
          </cell>
          <cell r="R25">
            <v>434037</v>
          </cell>
          <cell r="T25">
            <v>18110932.109999999</v>
          </cell>
        </row>
        <row r="26">
          <cell r="H26">
            <v>2134</v>
          </cell>
          <cell r="L26">
            <v>137</v>
          </cell>
          <cell r="Q26">
            <v>19</v>
          </cell>
        </row>
        <row r="36">
          <cell r="C36">
            <v>7912448.7464000005</v>
          </cell>
          <cell r="D36">
            <v>2915518.4936000002</v>
          </cell>
          <cell r="E36">
            <v>0</v>
          </cell>
          <cell r="F36">
            <v>60000</v>
          </cell>
        </row>
        <row r="37">
          <cell r="C37">
            <v>8632602.3017999995</v>
          </cell>
          <cell r="D37">
            <v>3080851.8282000003</v>
          </cell>
          <cell r="E37">
            <v>0</v>
          </cell>
          <cell r="F37">
            <v>0</v>
          </cell>
        </row>
        <row r="38">
          <cell r="C38">
            <v>9923930.5980999991</v>
          </cell>
          <cell r="D38">
            <v>3303476.1119000004</v>
          </cell>
          <cell r="E38">
            <v>0</v>
          </cell>
          <cell r="F38">
            <v>25000</v>
          </cell>
        </row>
        <row r="39">
          <cell r="C39">
            <v>9639756.0110999998</v>
          </cell>
          <cell r="D39">
            <v>3456259.2489</v>
          </cell>
          <cell r="E39">
            <v>0</v>
          </cell>
          <cell r="F39">
            <v>0</v>
          </cell>
        </row>
        <row r="40">
          <cell r="C40">
            <v>11188245.671</v>
          </cell>
          <cell r="D40">
            <v>3800687.429</v>
          </cell>
          <cell r="E40">
            <v>0</v>
          </cell>
          <cell r="F40">
            <v>25000</v>
          </cell>
        </row>
        <row r="41">
          <cell r="C41">
            <v>11882984.943799999</v>
          </cell>
          <cell r="D41">
            <v>4106587.8862000005</v>
          </cell>
          <cell r="E41">
            <v>0</v>
          </cell>
          <cell r="F41">
            <v>-4976.58</v>
          </cell>
        </row>
        <row r="42">
          <cell r="C42">
            <v>9127913.8145000003</v>
          </cell>
          <cell r="D42">
            <v>3202047.3854999999</v>
          </cell>
          <cell r="E42">
            <v>0</v>
          </cell>
          <cell r="F42">
            <v>0</v>
          </cell>
        </row>
        <row r="43">
          <cell r="C43">
            <v>10772892.710000001</v>
          </cell>
          <cell r="D43">
            <v>3745050.04</v>
          </cell>
          <cell r="E43">
            <v>0</v>
          </cell>
          <cell r="F43">
            <v>0</v>
          </cell>
        </row>
        <row r="44">
          <cell r="C44">
            <v>8477351.8061999995</v>
          </cell>
          <cell r="D44">
            <v>3981961.8638000004</v>
          </cell>
          <cell r="E44">
            <v>0</v>
          </cell>
          <cell r="F44">
            <v>1205.5999999999999</v>
          </cell>
        </row>
        <row r="45">
          <cell r="C45">
            <v>9555110.3204999994</v>
          </cell>
          <cell r="D45">
            <v>3516501.2294999999</v>
          </cell>
          <cell r="E45">
            <v>0</v>
          </cell>
          <cell r="F45">
            <v>0</v>
          </cell>
        </row>
        <row r="46">
          <cell r="C46">
            <v>10335566.758000001</v>
          </cell>
          <cell r="D46">
            <v>3922977.0420000004</v>
          </cell>
          <cell r="E46">
            <v>31578.880000000001</v>
          </cell>
          <cell r="F46">
            <v>0</v>
          </cell>
        </row>
        <row r="47">
          <cell r="C47">
            <v>13161634.7521</v>
          </cell>
          <cell r="D47">
            <v>4949297.3578999992</v>
          </cell>
          <cell r="E47">
            <v>24772.62</v>
          </cell>
          <cell r="F47">
            <v>0</v>
          </cell>
        </row>
      </sheetData>
      <sheetData sheetId="8">
        <row r="24">
          <cell r="C24">
            <v>105694492.42999999</v>
          </cell>
          <cell r="D24">
            <v>3525611.2399999993</v>
          </cell>
          <cell r="E24">
            <v>96380832.199999988</v>
          </cell>
          <cell r="H24">
            <v>5788048.990000003</v>
          </cell>
          <cell r="I24">
            <v>2151</v>
          </cell>
          <cell r="L24">
            <v>112</v>
          </cell>
          <cell r="M24">
            <v>25884967.759999998</v>
          </cell>
          <cell r="N24">
            <v>0</v>
          </cell>
          <cell r="O24">
            <v>3231407.26</v>
          </cell>
          <cell r="Q24">
            <v>0</v>
          </cell>
          <cell r="R24">
            <v>0</v>
          </cell>
          <cell r="T24">
            <v>9019456.2500000037</v>
          </cell>
        </row>
        <row r="25">
          <cell r="C25">
            <v>101412164.38000003</v>
          </cell>
          <cell r="D25">
            <v>2907377.5199999996</v>
          </cell>
          <cell r="E25">
            <v>92299909.079999983</v>
          </cell>
          <cell r="H25">
            <v>6204877.7800000003</v>
          </cell>
          <cell r="I25">
            <v>2151</v>
          </cell>
          <cell r="L25">
            <v>112</v>
          </cell>
          <cell r="M25">
            <v>33113301</v>
          </cell>
          <cell r="N25">
            <v>0</v>
          </cell>
          <cell r="O25">
            <v>5771285.25</v>
          </cell>
          <cell r="Q25">
            <v>19</v>
          </cell>
          <cell r="R25">
            <v>428531</v>
          </cell>
          <cell r="T25">
            <v>12404694.030000001</v>
          </cell>
        </row>
        <row r="26">
          <cell r="I26">
            <v>2151</v>
          </cell>
          <cell r="L26">
            <v>112</v>
          </cell>
          <cell r="Q26">
            <v>19</v>
          </cell>
        </row>
        <row r="46">
          <cell r="D46">
            <v>6438976.4179000016</v>
          </cell>
          <cell r="E46">
            <v>2580479.8321000012</v>
          </cell>
          <cell r="F46">
            <v>0</v>
          </cell>
        </row>
        <row r="47">
          <cell r="D47">
            <v>9364810.0707999989</v>
          </cell>
          <cell r="E47">
            <v>3039883.9592000004</v>
          </cell>
          <cell r="F47">
            <v>6000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l Lago Monthly FY 25-26"/>
      <sheetName val="del Lago Monthly FY 24-25"/>
      <sheetName val="del Lago Monthly FY 23-24"/>
      <sheetName val="del Lago Monthly FY 22-23"/>
      <sheetName val="del Lago Monthly FY 21-22"/>
      <sheetName val="del Lago Monthly FY 20-21"/>
      <sheetName val="del Lago Monthly FY 19-20"/>
      <sheetName val="del Lago Monthly FY 18-19"/>
      <sheetName val="del Lago Monthly FY 17-18"/>
      <sheetName val="del Lago Monthly FY 16-17"/>
    </sheetNames>
    <sheetDataSet>
      <sheetData sheetId="0">
        <row r="14">
          <cell r="C14">
            <v>144178524.80999997</v>
          </cell>
          <cell r="D14">
            <v>1947984.79</v>
          </cell>
          <cell r="E14">
            <v>130741947.91</v>
          </cell>
          <cell r="F14">
            <v>11488592.109999998</v>
          </cell>
          <cell r="H14">
            <v>1665</v>
          </cell>
          <cell r="L14">
            <v>66</v>
          </cell>
          <cell r="M14">
            <v>11895551.1</v>
          </cell>
          <cell r="N14">
            <v>283730</v>
          </cell>
          <cell r="O14">
            <v>2411134.1</v>
          </cell>
          <cell r="Q14">
            <v>14</v>
          </cell>
          <cell r="R14">
            <v>202017</v>
          </cell>
          <cell r="T14">
            <v>1403608.9600000002</v>
          </cell>
          <cell r="U14">
            <v>-142843.59</v>
          </cell>
          <cell r="W14">
            <v>13958899.619999997</v>
          </cell>
        </row>
        <row r="15">
          <cell r="C15">
            <v>161865150.57000002</v>
          </cell>
          <cell r="D15">
            <v>2615689.2999999998</v>
          </cell>
          <cell r="E15">
            <v>146941547.53</v>
          </cell>
          <cell r="F15">
            <v>12307913.739999996</v>
          </cell>
          <cell r="H15">
            <v>1653.1935483870968</v>
          </cell>
          <cell r="L15">
            <v>66</v>
          </cell>
          <cell r="M15">
            <v>14198192</v>
          </cell>
          <cell r="N15">
            <v>339270</v>
          </cell>
          <cell r="O15">
            <v>2771500.5</v>
          </cell>
          <cell r="Q15">
            <v>14</v>
          </cell>
          <cell r="R15">
            <v>218826</v>
          </cell>
          <cell r="T15">
            <v>1210761.5499999998</v>
          </cell>
          <cell r="U15">
            <v>136548.69999999995</v>
          </cell>
          <cell r="W15">
            <v>15434788.939999996</v>
          </cell>
        </row>
        <row r="16">
          <cell r="C16">
            <v>145083922.27000004</v>
          </cell>
          <cell r="D16">
            <v>2168468.46</v>
          </cell>
          <cell r="E16">
            <v>131477568.89</v>
          </cell>
          <cell r="F16">
            <v>11437884.919999998</v>
          </cell>
          <cell r="H16">
            <v>1618.3666666666666</v>
          </cell>
          <cell r="L16">
            <v>66.13333333333334</v>
          </cell>
          <cell r="M16">
            <v>12104558.050000001</v>
          </cell>
          <cell r="N16">
            <v>310375</v>
          </cell>
          <cell r="O16">
            <v>2469337.0499999998</v>
          </cell>
          <cell r="Q16">
            <v>10.4</v>
          </cell>
          <cell r="R16">
            <v>181150</v>
          </cell>
          <cell r="T16">
            <v>939265.55999999994</v>
          </cell>
          <cell r="U16">
            <v>121977.24999999997</v>
          </cell>
          <cell r="W16">
            <v>14210349.219999999</v>
          </cell>
        </row>
        <row r="17">
          <cell r="C17">
            <v>151631284.92999998</v>
          </cell>
          <cell r="D17">
            <v>2114911.7400000002</v>
          </cell>
          <cell r="E17">
            <v>137955824.56999999</v>
          </cell>
          <cell r="F17">
            <v>11560548.619999999</v>
          </cell>
          <cell r="H17">
            <v>1656.6774193548388</v>
          </cell>
          <cell r="L17">
            <v>70</v>
          </cell>
          <cell r="M17">
            <v>12575412</v>
          </cell>
          <cell r="N17">
            <v>303610</v>
          </cell>
          <cell r="O17">
            <v>2354668</v>
          </cell>
          <cell r="Q17">
            <v>10</v>
          </cell>
          <cell r="R17">
            <v>177521</v>
          </cell>
          <cell r="T17">
            <v>709154.4</v>
          </cell>
          <cell r="U17">
            <v>88940.88</v>
          </cell>
          <cell r="W17">
            <v>14181678.5</v>
          </cell>
        </row>
        <row r="18">
          <cell r="C18">
            <v>162679491.79000002</v>
          </cell>
          <cell r="D18">
            <v>2165149.09</v>
          </cell>
          <cell r="E18">
            <v>148064872.56999999</v>
          </cell>
          <cell r="F18">
            <v>12449470.130000001</v>
          </cell>
          <cell r="H18">
            <v>1665</v>
          </cell>
          <cell r="L18">
            <v>70</v>
          </cell>
          <cell r="M18">
            <v>13238833</v>
          </cell>
          <cell r="N18">
            <v>129505</v>
          </cell>
          <cell r="O18">
            <v>2664037.5</v>
          </cell>
          <cell r="Q18">
            <v>10</v>
          </cell>
          <cell r="R18">
            <v>197572</v>
          </cell>
          <cell r="T18">
            <v>898099.23</v>
          </cell>
          <cell r="U18">
            <v>140502.97</v>
          </cell>
          <cell r="W18">
            <v>15451582.600000001</v>
          </cell>
        </row>
        <row r="19">
          <cell r="C19">
            <v>137591098.98999998</v>
          </cell>
          <cell r="D19">
            <v>1832047.53</v>
          </cell>
          <cell r="E19">
            <v>125314673.23</v>
          </cell>
          <cell r="F19">
            <v>10444378.229999997</v>
          </cell>
          <cell r="H19">
            <v>1665</v>
          </cell>
          <cell r="L19">
            <v>70</v>
          </cell>
          <cell r="M19">
            <v>11779192</v>
          </cell>
          <cell r="N19">
            <v>148200</v>
          </cell>
          <cell r="O19">
            <v>2882110</v>
          </cell>
          <cell r="Q19">
            <v>10</v>
          </cell>
          <cell r="R19">
            <v>152138</v>
          </cell>
          <cell r="T19">
            <v>1410117.5699999996</v>
          </cell>
          <cell r="U19">
            <v>177509.86999999997</v>
          </cell>
          <cell r="W19">
            <v>13656136.099999996</v>
          </cell>
        </row>
        <row r="20">
          <cell r="C20">
            <v>151698335.92000005</v>
          </cell>
          <cell r="D20">
            <v>2109450.65</v>
          </cell>
          <cell r="E20">
            <v>138020260.41999999</v>
          </cell>
          <cell r="F20">
            <v>11568624.850000001</v>
          </cell>
          <cell r="H20">
            <v>1665</v>
          </cell>
          <cell r="L20">
            <v>70</v>
          </cell>
          <cell r="M20">
            <v>12264407</v>
          </cell>
          <cell r="N20">
            <v>168610</v>
          </cell>
          <cell r="O20">
            <v>2577343.25</v>
          </cell>
          <cell r="Q20">
            <v>10</v>
          </cell>
          <cell r="R20">
            <v>161077</v>
          </cell>
          <cell r="T20">
            <v>1365454.69</v>
          </cell>
          <cell r="U20">
            <v>113585.38000000003</v>
          </cell>
          <cell r="W20">
            <v>14420630.480000002</v>
          </cell>
        </row>
        <row r="21">
          <cell r="C21">
            <v>141519963.23999998</v>
          </cell>
          <cell r="D21">
            <v>1938463.88</v>
          </cell>
          <cell r="E21">
            <v>128590623.93000001</v>
          </cell>
          <cell r="F21">
            <v>10990875.43</v>
          </cell>
          <cell r="H21">
            <v>1665</v>
          </cell>
          <cell r="L21">
            <v>70</v>
          </cell>
          <cell r="M21">
            <v>11694793</v>
          </cell>
          <cell r="N21">
            <v>141755</v>
          </cell>
          <cell r="O21">
            <v>2176131</v>
          </cell>
          <cell r="Q21">
            <v>10</v>
          </cell>
          <cell r="R21">
            <v>155564</v>
          </cell>
          <cell r="T21">
            <v>1430772.9299999997</v>
          </cell>
          <cell r="U21">
            <v>148313.10999999996</v>
          </cell>
          <cell r="W21">
            <v>13470883.539999999</v>
          </cell>
        </row>
        <row r="22">
          <cell r="C22">
            <v>128119322.38000001</v>
          </cell>
          <cell r="D22">
            <v>1782908.03</v>
          </cell>
          <cell r="E22">
            <v>116405601.54000001</v>
          </cell>
          <cell r="F22">
            <v>9930812.8099999987</v>
          </cell>
          <cell r="H22">
            <v>1665</v>
          </cell>
          <cell r="L22">
            <v>70</v>
          </cell>
          <cell r="M22">
            <v>11502983</v>
          </cell>
          <cell r="N22">
            <v>145255</v>
          </cell>
          <cell r="O22">
            <v>2176337.5</v>
          </cell>
          <cell r="Q22">
            <v>10</v>
          </cell>
          <cell r="R22">
            <v>132904</v>
          </cell>
          <cell r="T22">
            <v>911967.2100000002</v>
          </cell>
          <cell r="U22">
            <v>237900.80999999997</v>
          </cell>
          <cell r="W22">
            <v>12477955.119999999</v>
          </cell>
        </row>
        <row r="23">
          <cell r="C23">
            <v>126390400.27</v>
          </cell>
          <cell r="D23">
            <v>1625252.2</v>
          </cell>
          <cell r="E23">
            <v>114743101.92</v>
          </cell>
          <cell r="F23">
            <v>10022046.149999999</v>
          </cell>
          <cell r="H23">
            <v>1665</v>
          </cell>
          <cell r="L23">
            <v>70</v>
          </cell>
          <cell r="M23">
            <v>11534389</v>
          </cell>
          <cell r="N23">
            <v>114855</v>
          </cell>
          <cell r="O23">
            <v>2402257.75</v>
          </cell>
          <cell r="Q23">
            <v>10</v>
          </cell>
          <cell r="R23">
            <v>154631</v>
          </cell>
          <cell r="T23">
            <v>1159424.5999999999</v>
          </cell>
          <cell r="U23">
            <v>134530.49000000002</v>
          </cell>
          <cell r="W23">
            <v>12713465.389999999</v>
          </cell>
        </row>
        <row r="24">
          <cell r="C24"/>
          <cell r="D24"/>
          <cell r="E24"/>
          <cell r="F24"/>
          <cell r="H24"/>
          <cell r="L24"/>
          <cell r="N24"/>
          <cell r="Q24"/>
          <cell r="T24"/>
          <cell r="U24"/>
          <cell r="W24">
            <v>0</v>
          </cell>
        </row>
        <row r="25">
          <cell r="C25"/>
          <cell r="D25"/>
          <cell r="E25"/>
          <cell r="F25"/>
          <cell r="H25"/>
          <cell r="L25"/>
          <cell r="N25"/>
          <cell r="Q25"/>
          <cell r="T25"/>
          <cell r="U25"/>
          <cell r="W25">
            <v>0</v>
          </cell>
        </row>
        <row r="26">
          <cell r="H26">
            <v>1658.3888890000001</v>
          </cell>
          <cell r="L26">
            <v>68.813333333333333</v>
          </cell>
        </row>
        <row r="36">
          <cell r="C36">
            <v>10265291.235999998</v>
          </cell>
          <cell r="D36">
            <v>3693608.3839999991</v>
          </cell>
          <cell r="E36">
            <v>17813.940000000002</v>
          </cell>
          <cell r="F36">
            <v>0</v>
          </cell>
        </row>
        <row r="37">
          <cell r="C37">
            <v>11429727.297999997</v>
          </cell>
          <cell r="D37">
            <v>4005061.6419999991</v>
          </cell>
          <cell r="E37">
            <v>14002.699999999999</v>
          </cell>
          <cell r="F37">
            <v>0</v>
          </cell>
        </row>
        <row r="38">
          <cell r="C38">
            <v>10501737.313999999</v>
          </cell>
          <cell r="D38">
            <v>3708611.9059999995</v>
          </cell>
          <cell r="E38">
            <v>12077.560000000001</v>
          </cell>
          <cell r="F38">
            <v>184187.51</v>
          </cell>
        </row>
        <row r="39">
          <cell r="C39">
            <v>10451400.925999999</v>
          </cell>
          <cell r="D39">
            <v>3730277.5739999996</v>
          </cell>
          <cell r="E39">
            <v>18505.41</v>
          </cell>
          <cell r="F39">
            <v>0</v>
          </cell>
        </row>
        <row r="40">
          <cell r="C40">
            <v>11416530.313999999</v>
          </cell>
          <cell r="D40">
            <v>4035052.2860000003</v>
          </cell>
          <cell r="E40">
            <v>10429.879999999999</v>
          </cell>
          <cell r="F40">
            <v>0</v>
          </cell>
        </row>
        <row r="41">
          <cell r="C41">
            <v>10201646.843999997</v>
          </cell>
          <cell r="D41">
            <v>3454489.2559999991</v>
          </cell>
          <cell r="E41">
            <v>19270.23</v>
          </cell>
          <cell r="F41">
            <v>0</v>
          </cell>
        </row>
        <row r="42">
          <cell r="C42">
            <v>10664842.462000001</v>
          </cell>
          <cell r="D42">
            <v>3755788.0180000006</v>
          </cell>
          <cell r="E42">
            <v>24431.64</v>
          </cell>
          <cell r="F42">
            <v>0</v>
          </cell>
        </row>
        <row r="43">
          <cell r="C43">
            <v>9925620.0999999996</v>
          </cell>
          <cell r="D43">
            <v>3545263.4399999995</v>
          </cell>
          <cell r="E43">
            <v>15241.58</v>
          </cell>
          <cell r="F43">
            <v>1000</v>
          </cell>
        </row>
        <row r="44">
          <cell r="C44">
            <v>9243997.0459999982</v>
          </cell>
          <cell r="D44">
            <v>3233958.0739999996</v>
          </cell>
          <cell r="E44">
            <v>23045.33</v>
          </cell>
          <cell r="F44">
            <v>0</v>
          </cell>
        </row>
        <row r="45">
          <cell r="C45">
            <v>9437709.6209999993</v>
          </cell>
          <cell r="D45">
            <v>3275755.7689999994</v>
          </cell>
          <cell r="E45">
            <v>17703.39</v>
          </cell>
          <cell r="F45">
            <v>5000</v>
          </cell>
        </row>
      </sheetData>
      <sheetData sheetId="1">
        <row r="14">
          <cell r="C14">
            <v>132557613.66</v>
          </cell>
          <cell r="D14">
            <v>2167427.23</v>
          </cell>
          <cell r="E14">
            <v>119801905.97</v>
          </cell>
          <cell r="F14">
            <v>10588280.459999999</v>
          </cell>
          <cell r="H14">
            <v>1665</v>
          </cell>
          <cell r="L14">
            <v>66</v>
          </cell>
          <cell r="M14">
            <v>12900344</v>
          </cell>
          <cell r="N14">
            <v>248760</v>
          </cell>
          <cell r="O14">
            <v>2943594.5</v>
          </cell>
          <cell r="Q14">
            <v>14</v>
          </cell>
          <cell r="R14">
            <v>218236</v>
          </cell>
          <cell r="T14">
            <v>1348031.53</v>
          </cell>
          <cell r="U14">
            <v>77298.699999999983</v>
          </cell>
          <cell r="W14">
            <v>13827409.659999998</v>
          </cell>
        </row>
        <row r="15">
          <cell r="C15">
            <v>141553086.98999998</v>
          </cell>
          <cell r="D15">
            <v>2385230.1800000002</v>
          </cell>
          <cell r="E15">
            <v>128833262.28</v>
          </cell>
          <cell r="F15">
            <v>10334594.530000001</v>
          </cell>
          <cell r="H15">
            <v>1665</v>
          </cell>
          <cell r="L15">
            <v>66</v>
          </cell>
          <cell r="M15">
            <v>12040571</v>
          </cell>
          <cell r="N15">
            <v>281450</v>
          </cell>
          <cell r="O15">
            <v>2307055.75</v>
          </cell>
          <cell r="Q15">
            <v>14</v>
          </cell>
          <cell r="R15">
            <v>199050</v>
          </cell>
          <cell r="T15">
            <v>931609.45000000007</v>
          </cell>
          <cell r="U15">
            <v>120877.68000000002</v>
          </cell>
          <cell r="W15">
            <v>12961577.960000001</v>
          </cell>
        </row>
        <row r="16">
          <cell r="C16">
            <v>146210918.68000001</v>
          </cell>
          <cell r="D16">
            <v>2472393.44</v>
          </cell>
          <cell r="E16">
            <v>132447579.40000001</v>
          </cell>
          <cell r="F16">
            <v>11290945.839999998</v>
          </cell>
          <cell r="H16">
            <v>1665</v>
          </cell>
          <cell r="L16">
            <v>66</v>
          </cell>
          <cell r="M16">
            <v>11912058</v>
          </cell>
          <cell r="N16">
            <v>235210</v>
          </cell>
          <cell r="O16">
            <v>2567209.25</v>
          </cell>
          <cell r="Q16">
            <v>14</v>
          </cell>
          <cell r="R16">
            <v>198029</v>
          </cell>
          <cell r="T16">
            <v>844125.12999999989</v>
          </cell>
          <cell r="U16">
            <v>64915.879999999976</v>
          </cell>
          <cell r="W16">
            <v>14121099.969999999</v>
          </cell>
        </row>
        <row r="17">
          <cell r="C17">
            <v>146927856.38999999</v>
          </cell>
          <cell r="D17">
            <v>2602847.23</v>
          </cell>
          <cell r="E17">
            <v>133719906.54000001</v>
          </cell>
          <cell r="F17">
            <v>10605102.620000003</v>
          </cell>
          <cell r="H17">
            <v>1665</v>
          </cell>
          <cell r="L17">
            <v>66</v>
          </cell>
          <cell r="M17">
            <v>11618745</v>
          </cell>
          <cell r="N17">
            <v>239340</v>
          </cell>
          <cell r="O17">
            <v>2386353.5</v>
          </cell>
          <cell r="Q17">
            <v>14</v>
          </cell>
          <cell r="R17">
            <v>199623</v>
          </cell>
          <cell r="T17">
            <v>803243.63000000012</v>
          </cell>
          <cell r="U17">
            <v>87301.929999999964</v>
          </cell>
          <cell r="W17">
            <v>13278381.050000003</v>
          </cell>
        </row>
        <row r="18">
          <cell r="C18">
            <v>145186239.66999999</v>
          </cell>
          <cell r="D18">
            <v>2146389.7400000002</v>
          </cell>
          <cell r="E18">
            <v>131825046.95</v>
          </cell>
          <cell r="F18">
            <v>11214802.98</v>
          </cell>
          <cell r="H18">
            <v>1665</v>
          </cell>
          <cell r="L18">
            <v>66</v>
          </cell>
          <cell r="M18">
            <v>12548597</v>
          </cell>
          <cell r="N18">
            <v>185150</v>
          </cell>
          <cell r="O18">
            <v>2499143</v>
          </cell>
          <cell r="Q18">
            <v>14</v>
          </cell>
          <cell r="R18">
            <v>237802</v>
          </cell>
          <cell r="T18">
            <v>905158.77000000025</v>
          </cell>
          <cell r="U18">
            <v>218399.00000000003</v>
          </cell>
          <cell r="W18">
            <v>14170146.98</v>
          </cell>
        </row>
        <row r="19">
          <cell r="C19">
            <v>132152648.74999999</v>
          </cell>
          <cell r="D19">
            <v>1782053.23</v>
          </cell>
          <cell r="E19">
            <v>119679645.8</v>
          </cell>
          <cell r="F19">
            <v>10690949.719999997</v>
          </cell>
          <cell r="H19">
            <v>1665</v>
          </cell>
          <cell r="L19">
            <v>66</v>
          </cell>
          <cell r="M19">
            <v>11054115.25</v>
          </cell>
          <cell r="N19">
            <v>174070</v>
          </cell>
          <cell r="O19">
            <v>2601467.75</v>
          </cell>
          <cell r="Q19">
            <v>14</v>
          </cell>
          <cell r="R19">
            <v>204684</v>
          </cell>
          <cell r="T19">
            <v>1277618.43</v>
          </cell>
          <cell r="U19">
            <v>260638.48000000004</v>
          </cell>
          <cell r="W19">
            <v>13757739.949999997</v>
          </cell>
        </row>
        <row r="20">
          <cell r="C20">
            <v>138494169.18000004</v>
          </cell>
          <cell r="D20">
            <v>2027518.45</v>
          </cell>
          <cell r="E20">
            <v>125837995.22</v>
          </cell>
          <cell r="F20">
            <v>10628655.509999998</v>
          </cell>
          <cell r="H20">
            <v>1665</v>
          </cell>
          <cell r="L20">
            <v>66</v>
          </cell>
          <cell r="M20">
            <v>11081427</v>
          </cell>
          <cell r="N20">
            <v>161715</v>
          </cell>
          <cell r="O20">
            <v>2330191.5</v>
          </cell>
          <cell r="Q20">
            <v>14</v>
          </cell>
          <cell r="R20">
            <v>185531</v>
          </cell>
          <cell r="T20">
            <v>1598961.8100000005</v>
          </cell>
          <cell r="U20">
            <v>-105949.37000000011</v>
          </cell>
          <cell r="W20">
            <v>13038428.639999997</v>
          </cell>
        </row>
        <row r="21">
          <cell r="C21">
            <v>129188831.35000001</v>
          </cell>
          <cell r="D21">
            <v>1388651.49</v>
          </cell>
          <cell r="E21">
            <v>117441055.33</v>
          </cell>
          <cell r="F21">
            <v>10359124.529999997</v>
          </cell>
          <cell r="H21">
            <v>1665</v>
          </cell>
          <cell r="L21">
            <v>66</v>
          </cell>
          <cell r="M21">
            <v>11121956.75</v>
          </cell>
          <cell r="N21">
            <v>167125</v>
          </cell>
          <cell r="O21">
            <v>2409821.5</v>
          </cell>
          <cell r="Q21">
            <v>14</v>
          </cell>
          <cell r="R21">
            <v>221121</v>
          </cell>
          <cell r="T21">
            <v>1395913.33</v>
          </cell>
          <cell r="U21">
            <v>158108.95000000001</v>
          </cell>
          <cell r="W21">
            <v>13148175.979999997</v>
          </cell>
        </row>
        <row r="22">
          <cell r="C22">
            <v>121340357</v>
          </cell>
          <cell r="D22">
            <v>1269002.26</v>
          </cell>
          <cell r="E22">
            <v>109789165.48999999</v>
          </cell>
          <cell r="F22">
            <v>10282189.25</v>
          </cell>
          <cell r="H22">
            <v>1665</v>
          </cell>
          <cell r="L22">
            <v>66</v>
          </cell>
          <cell r="M22">
            <v>11496896</v>
          </cell>
          <cell r="N22">
            <v>180380</v>
          </cell>
          <cell r="O22">
            <v>2131538</v>
          </cell>
          <cell r="Q22">
            <v>14</v>
          </cell>
          <cell r="R22">
            <v>216773</v>
          </cell>
          <cell r="T22">
            <v>1375457.83</v>
          </cell>
          <cell r="U22">
            <v>51880.38</v>
          </cell>
          <cell r="W22">
            <v>12682380.630000001</v>
          </cell>
        </row>
        <row r="23">
          <cell r="C23">
            <v>108543327.40999998</v>
          </cell>
          <cell r="D23">
            <v>1130491.6299999999</v>
          </cell>
          <cell r="E23">
            <v>98560663</v>
          </cell>
          <cell r="F23">
            <v>8852172.7800000012</v>
          </cell>
          <cell r="H23">
            <v>1665</v>
          </cell>
          <cell r="L23">
            <v>66</v>
          </cell>
          <cell r="M23">
            <v>10410875</v>
          </cell>
          <cell r="N23">
            <v>143790</v>
          </cell>
          <cell r="O23">
            <v>1784071.5</v>
          </cell>
          <cell r="Q23">
            <v>14</v>
          </cell>
          <cell r="R23">
            <v>186934</v>
          </cell>
          <cell r="T23">
            <v>1562481.1000000003</v>
          </cell>
          <cell r="U23">
            <v>211985.89999999997</v>
          </cell>
          <cell r="W23">
            <v>11035164.180000002</v>
          </cell>
        </row>
        <row r="24">
          <cell r="C24">
            <v>104900710.68000002</v>
          </cell>
          <cell r="D24">
            <v>961668.69</v>
          </cell>
          <cell r="E24">
            <v>94866216.019999996</v>
          </cell>
          <cell r="F24">
            <v>9072825.9699999969</v>
          </cell>
          <cell r="H24">
            <v>1665</v>
          </cell>
          <cell r="L24">
            <v>66</v>
          </cell>
          <cell r="M24">
            <v>10744979</v>
          </cell>
          <cell r="N24">
            <v>146570</v>
          </cell>
          <cell r="O24">
            <v>2563575.75</v>
          </cell>
          <cell r="Q24">
            <v>14</v>
          </cell>
          <cell r="R24">
            <v>175183</v>
          </cell>
          <cell r="T24">
            <v>1166104.8299999998</v>
          </cell>
          <cell r="U24">
            <v>-106782.49</v>
          </cell>
          <cell r="W24">
            <v>11704802.229999997</v>
          </cell>
        </row>
        <row r="25">
          <cell r="C25">
            <v>148091456.40000004</v>
          </cell>
          <cell r="D25">
            <v>1813438.49</v>
          </cell>
          <cell r="E25">
            <v>134264959.83000001</v>
          </cell>
          <cell r="F25">
            <v>12013058.080000002</v>
          </cell>
          <cell r="H25">
            <v>1665</v>
          </cell>
          <cell r="L25">
            <v>66</v>
          </cell>
          <cell r="M25">
            <v>13940741</v>
          </cell>
          <cell r="N25">
            <v>224345</v>
          </cell>
          <cell r="O25">
            <v>2751086.75</v>
          </cell>
          <cell r="Q25">
            <v>14</v>
          </cell>
          <cell r="R25">
            <v>206437</v>
          </cell>
          <cell r="T25">
            <v>1397811.2</v>
          </cell>
          <cell r="U25">
            <v>122332.01000000001</v>
          </cell>
          <cell r="W25">
            <v>15092913.840000002</v>
          </cell>
        </row>
        <row r="26">
          <cell r="H26">
            <v>1665</v>
          </cell>
          <cell r="L26">
            <v>66</v>
          </cell>
        </row>
        <row r="36">
          <cell r="C36">
            <v>10327012.601999998</v>
          </cell>
          <cell r="D36">
            <v>3500397.0579999997</v>
          </cell>
          <cell r="E36">
            <v>31772.609999999993</v>
          </cell>
          <cell r="F36">
            <v>0</v>
          </cell>
        </row>
        <row r="37">
          <cell r="C37">
            <v>9598501.2580000013</v>
          </cell>
          <cell r="D37">
            <v>3363076.702</v>
          </cell>
          <cell r="E37">
            <v>13938.98</v>
          </cell>
          <cell r="F37">
            <v>0</v>
          </cell>
        </row>
        <row r="38">
          <cell r="C38">
            <v>10450800.804999998</v>
          </cell>
          <cell r="D38">
            <v>3670299.1649999996</v>
          </cell>
          <cell r="E38">
            <v>22283.77</v>
          </cell>
          <cell r="F38">
            <v>0</v>
          </cell>
        </row>
        <row r="39">
          <cell r="C39">
            <v>9829522.421000002</v>
          </cell>
          <cell r="D39">
            <v>3448858.6290000007</v>
          </cell>
          <cell r="E39">
            <v>14562.23</v>
          </cell>
          <cell r="F39">
            <v>0</v>
          </cell>
        </row>
        <row r="40">
          <cell r="C40">
            <v>10510171.686000001</v>
          </cell>
          <cell r="D40">
            <v>3659975.2939999998</v>
          </cell>
          <cell r="E40">
            <v>12462.689999999999</v>
          </cell>
          <cell r="F40">
            <v>1000</v>
          </cell>
        </row>
        <row r="41">
          <cell r="C41">
            <v>10243776.010999998</v>
          </cell>
          <cell r="D41">
            <v>3513963.9389999988</v>
          </cell>
          <cell r="E41">
            <v>14303.54</v>
          </cell>
          <cell r="F41">
            <v>0</v>
          </cell>
        </row>
        <row r="42">
          <cell r="C42">
            <v>9608854.6739999987</v>
          </cell>
          <cell r="D42">
            <v>3429573.9659999995</v>
          </cell>
          <cell r="E42">
            <v>16415.22</v>
          </cell>
          <cell r="F42">
            <v>0</v>
          </cell>
        </row>
        <row r="43">
          <cell r="C43">
            <v>9761533.4759999979</v>
          </cell>
          <cell r="D43">
            <v>3386642.5039999993</v>
          </cell>
          <cell r="E43">
            <v>11329.38</v>
          </cell>
          <cell r="F43">
            <v>0</v>
          </cell>
        </row>
        <row r="44">
          <cell r="C44">
            <v>9357704.7170000002</v>
          </cell>
          <cell r="D44">
            <v>3324675.9129999997</v>
          </cell>
          <cell r="E44">
            <v>12655.830000000002</v>
          </cell>
          <cell r="F44">
            <v>0</v>
          </cell>
        </row>
        <row r="45">
          <cell r="C45">
            <v>8161213.2060000002</v>
          </cell>
          <cell r="D45">
            <v>2873950.9740000004</v>
          </cell>
          <cell r="E45">
            <v>18258.93</v>
          </cell>
          <cell r="F45">
            <v>0</v>
          </cell>
        </row>
        <row r="46">
          <cell r="C46">
            <v>8719756.8129999973</v>
          </cell>
          <cell r="D46">
            <v>2985045.416999999</v>
          </cell>
          <cell r="E46">
            <v>12136.72</v>
          </cell>
          <cell r="F46">
            <v>0</v>
          </cell>
        </row>
        <row r="47">
          <cell r="C47">
            <v>11181010.840000002</v>
          </cell>
          <cell r="D47">
            <v>3911903.0000000005</v>
          </cell>
          <cell r="E47">
            <v>16857.57</v>
          </cell>
          <cell r="F47">
            <v>120</v>
          </cell>
        </row>
      </sheetData>
      <sheetData sheetId="2">
        <row r="14">
          <cell r="C14">
            <v>132970570.59000003</v>
          </cell>
          <cell r="D14">
            <v>1666588.1</v>
          </cell>
          <cell r="E14">
            <v>120776169.45999999</v>
          </cell>
          <cell r="F14">
            <v>10527813.029999996</v>
          </cell>
          <cell r="G14"/>
          <cell r="H14">
            <v>1665</v>
          </cell>
          <cell r="L14">
            <v>66</v>
          </cell>
          <cell r="M14">
            <v>12738197</v>
          </cell>
          <cell r="N14">
            <v>0</v>
          </cell>
          <cell r="O14">
            <v>2628660.5</v>
          </cell>
          <cell r="Q14">
            <v>14</v>
          </cell>
          <cell r="R14">
            <v>232003</v>
          </cell>
          <cell r="T14">
            <v>1557283.7200000004</v>
          </cell>
          <cell r="U14">
            <v>184171.56999999995</v>
          </cell>
        </row>
        <row r="15">
          <cell r="C15">
            <v>128569793.42999999</v>
          </cell>
          <cell r="D15">
            <v>1713924.3</v>
          </cell>
          <cell r="E15">
            <v>116752587.43000001</v>
          </cell>
          <cell r="F15">
            <v>10103281.700000001</v>
          </cell>
          <cell r="G15"/>
          <cell r="H15">
            <v>1665</v>
          </cell>
          <cell r="L15">
            <v>66</v>
          </cell>
          <cell r="M15">
            <v>11496473</v>
          </cell>
          <cell r="N15">
            <v>0</v>
          </cell>
          <cell r="O15">
            <v>2120689.75</v>
          </cell>
          <cell r="Q15">
            <v>14</v>
          </cell>
          <cell r="R15">
            <v>194285</v>
          </cell>
          <cell r="T15">
            <v>1231193.7600000002</v>
          </cell>
          <cell r="U15">
            <v>147069.32000000009</v>
          </cell>
        </row>
        <row r="16">
          <cell r="C16">
            <v>130277525.78000003</v>
          </cell>
          <cell r="D16">
            <v>1741689.36</v>
          </cell>
          <cell r="E16">
            <v>118188703.3</v>
          </cell>
          <cell r="F16">
            <v>10347133.120000003</v>
          </cell>
          <cell r="G16"/>
          <cell r="H16">
            <v>1665</v>
          </cell>
          <cell r="L16">
            <v>66</v>
          </cell>
          <cell r="M16">
            <v>11080364</v>
          </cell>
          <cell r="N16">
            <v>0</v>
          </cell>
          <cell r="O16">
            <v>2388886.75</v>
          </cell>
          <cell r="Q16">
            <v>14</v>
          </cell>
          <cell r="R16">
            <v>209080</v>
          </cell>
          <cell r="T16">
            <v>1132089.9000000001</v>
          </cell>
          <cell r="U16">
            <v>160999.14999999997</v>
          </cell>
        </row>
        <row r="17">
          <cell r="C17">
            <v>137727511.59</v>
          </cell>
          <cell r="D17">
            <v>1812753.81</v>
          </cell>
          <cell r="E17">
            <v>125274515.5</v>
          </cell>
          <cell r="F17">
            <v>10640242.279999997</v>
          </cell>
          <cell r="G17"/>
          <cell r="H17">
            <v>1665</v>
          </cell>
          <cell r="L17">
            <v>66</v>
          </cell>
          <cell r="M17">
            <v>12077066</v>
          </cell>
          <cell r="N17">
            <v>0</v>
          </cell>
          <cell r="O17">
            <v>3010929.25</v>
          </cell>
          <cell r="Q17">
            <v>14</v>
          </cell>
          <cell r="R17">
            <v>230184</v>
          </cell>
          <cell r="T17">
            <v>704081.3899999999</v>
          </cell>
          <cell r="U17">
            <v>136635.02999999997</v>
          </cell>
        </row>
        <row r="18">
          <cell r="C18">
            <v>136953856.10999998</v>
          </cell>
          <cell r="D18">
            <v>2373916.4</v>
          </cell>
          <cell r="E18">
            <v>124229184.72</v>
          </cell>
          <cell r="F18">
            <v>10350754.989999996</v>
          </cell>
          <cell r="G18"/>
          <cell r="H18">
            <v>1665</v>
          </cell>
          <cell r="L18">
            <v>66</v>
          </cell>
          <cell r="M18">
            <v>12016657</v>
          </cell>
          <cell r="N18">
            <v>8775</v>
          </cell>
          <cell r="O18">
            <v>2485792.75</v>
          </cell>
          <cell r="Q18">
            <v>14</v>
          </cell>
          <cell r="R18">
            <v>200707</v>
          </cell>
          <cell r="T18">
            <v>871283.65999999992</v>
          </cell>
          <cell r="U18">
            <v>208387.31</v>
          </cell>
        </row>
        <row r="19">
          <cell r="C19">
            <v>132111054.29000001</v>
          </cell>
          <cell r="D19">
            <v>1881396.57</v>
          </cell>
          <cell r="E19">
            <v>119632266.23999999</v>
          </cell>
          <cell r="F19">
            <v>10597391.479999999</v>
          </cell>
          <cell r="G19"/>
          <cell r="H19">
            <v>1665</v>
          </cell>
          <cell r="L19">
            <v>66</v>
          </cell>
          <cell r="M19">
            <v>11393919</v>
          </cell>
          <cell r="N19">
            <v>20100</v>
          </cell>
          <cell r="O19">
            <v>2402012.25</v>
          </cell>
          <cell r="Q19">
            <v>14</v>
          </cell>
          <cell r="R19">
            <v>209746</v>
          </cell>
          <cell r="T19">
            <v>1873172.6299999997</v>
          </cell>
          <cell r="U19">
            <v>317547.26</v>
          </cell>
        </row>
        <row r="20">
          <cell r="C20">
            <v>119897002.12000002</v>
          </cell>
          <cell r="D20">
            <v>1475603.01</v>
          </cell>
          <cell r="E20">
            <v>108518386.2</v>
          </cell>
          <cell r="F20">
            <v>9903012.9099999964</v>
          </cell>
          <cell r="G20"/>
          <cell r="H20">
            <v>1665</v>
          </cell>
          <cell r="L20">
            <v>66</v>
          </cell>
          <cell r="M20">
            <v>11415995</v>
          </cell>
          <cell r="N20">
            <v>44530</v>
          </cell>
          <cell r="O20">
            <v>2571758.5</v>
          </cell>
          <cell r="Q20">
            <v>14</v>
          </cell>
          <cell r="R20">
            <v>188788</v>
          </cell>
          <cell r="T20">
            <v>2355682.11</v>
          </cell>
          <cell r="U20">
            <v>347094.22999999986</v>
          </cell>
        </row>
        <row r="21">
          <cell r="C21">
            <v>124452781.91000001</v>
          </cell>
          <cell r="D21">
            <v>1917435.91</v>
          </cell>
          <cell r="E21">
            <v>112697322.73</v>
          </cell>
          <cell r="F21">
            <v>9838023.2700000014</v>
          </cell>
          <cell r="G21"/>
          <cell r="H21">
            <v>1665</v>
          </cell>
          <cell r="L21">
            <v>66</v>
          </cell>
          <cell r="M21">
            <v>10811171.050000001</v>
          </cell>
          <cell r="N21">
            <v>50295</v>
          </cell>
          <cell r="O21">
            <v>2775338.55</v>
          </cell>
          <cell r="Q21">
            <v>14</v>
          </cell>
          <cell r="R21">
            <v>203844</v>
          </cell>
          <cell r="T21">
            <v>2963812.2100000004</v>
          </cell>
          <cell r="U21">
            <v>82784.400000000023</v>
          </cell>
        </row>
        <row r="22">
          <cell r="C22">
            <v>131237174.84000002</v>
          </cell>
          <cell r="D22">
            <v>1745166.58</v>
          </cell>
          <cell r="E22">
            <v>118809395.36</v>
          </cell>
          <cell r="F22">
            <v>10682612.899999997</v>
          </cell>
          <cell r="G22"/>
          <cell r="H22">
            <v>1665</v>
          </cell>
          <cell r="L22">
            <v>66</v>
          </cell>
          <cell r="M22">
            <v>12374950</v>
          </cell>
          <cell r="N22">
            <v>67035</v>
          </cell>
          <cell r="O22">
            <v>3075253.75</v>
          </cell>
          <cell r="Q22">
            <v>14</v>
          </cell>
          <cell r="R22">
            <v>254245</v>
          </cell>
          <cell r="T22">
            <v>3960162.44</v>
          </cell>
          <cell r="U22">
            <v>248186.38999999998</v>
          </cell>
        </row>
        <row r="23">
          <cell r="C23">
            <v>106948693.29999998</v>
          </cell>
          <cell r="D23">
            <v>1524887.56</v>
          </cell>
          <cell r="E23">
            <v>97113331.959999993</v>
          </cell>
          <cell r="F23">
            <v>8310473.7800000031</v>
          </cell>
          <cell r="G23"/>
          <cell r="H23">
            <v>1665</v>
          </cell>
          <cell r="L23">
            <v>66</v>
          </cell>
          <cell r="M23">
            <v>10491016</v>
          </cell>
          <cell r="N23">
            <v>187525</v>
          </cell>
          <cell r="O23">
            <v>2110624.5</v>
          </cell>
          <cell r="Q23">
            <v>14</v>
          </cell>
          <cell r="R23">
            <v>197088</v>
          </cell>
          <cell r="T23">
            <v>2134174.1999999997</v>
          </cell>
          <cell r="U23">
            <v>90058.949999999983</v>
          </cell>
        </row>
        <row r="24">
          <cell r="C24">
            <v>128306194.51000001</v>
          </cell>
          <cell r="D24">
            <v>1860897.26</v>
          </cell>
          <cell r="E24">
            <v>116415990.44</v>
          </cell>
          <cell r="F24">
            <v>10029306.810000001</v>
          </cell>
          <cell r="G24"/>
          <cell r="H24">
            <v>1665</v>
          </cell>
          <cell r="L24">
            <v>66</v>
          </cell>
          <cell r="M24">
            <v>12557050.25</v>
          </cell>
          <cell r="N24">
            <v>311950</v>
          </cell>
          <cell r="O24">
            <v>2811320.25</v>
          </cell>
          <cell r="Q24">
            <v>14</v>
          </cell>
          <cell r="R24">
            <v>245734</v>
          </cell>
          <cell r="T24">
            <v>1390533.7100000002</v>
          </cell>
          <cell r="U24">
            <v>60215.51999999999</v>
          </cell>
        </row>
        <row r="25">
          <cell r="C25">
            <v>150553793.40000004</v>
          </cell>
          <cell r="D25">
            <v>2149117.3199999998</v>
          </cell>
          <cell r="E25">
            <v>136448942.97999999</v>
          </cell>
          <cell r="F25">
            <v>11955733.099999996</v>
          </cell>
          <cell r="G25"/>
          <cell r="H25">
            <v>1665</v>
          </cell>
          <cell r="L25">
            <v>66</v>
          </cell>
          <cell r="M25">
            <v>15170832</v>
          </cell>
          <cell r="N25">
            <v>250095</v>
          </cell>
          <cell r="O25">
            <v>3477323.25</v>
          </cell>
          <cell r="Q25">
            <v>14</v>
          </cell>
          <cell r="R25">
            <v>251419</v>
          </cell>
          <cell r="T25">
            <v>1487880.7100000002</v>
          </cell>
          <cell r="U25">
            <v>183230.87000000005</v>
          </cell>
        </row>
        <row r="26">
          <cell r="H26">
            <v>1665</v>
          </cell>
          <cell r="L26">
            <v>66</v>
          </cell>
        </row>
        <row r="36">
          <cell r="C36">
            <v>10109820.683999997</v>
          </cell>
          <cell r="D36">
            <v>3462827.4159999983</v>
          </cell>
          <cell r="E36">
            <v>12589.36</v>
          </cell>
          <cell r="F36">
            <v>0</v>
          </cell>
        </row>
        <row r="37">
          <cell r="C37">
            <v>9288136.8530000001</v>
          </cell>
          <cell r="D37">
            <v>3277188.9170000004</v>
          </cell>
          <cell r="E37">
            <v>21244.730000000003</v>
          </cell>
          <cell r="F37">
            <v>0</v>
          </cell>
        </row>
        <row r="38">
          <cell r="C38">
            <v>9726062.4940000009</v>
          </cell>
          <cell r="D38">
            <v>3380036.5260000005</v>
          </cell>
          <cell r="E38">
            <v>22968.5</v>
          </cell>
          <cell r="F38">
            <v>0</v>
          </cell>
        </row>
        <row r="39">
          <cell r="C39">
            <v>10488143.047999999</v>
          </cell>
          <cell r="D39">
            <v>3529847.5119999992</v>
          </cell>
          <cell r="E39">
            <v>17001.740000000002</v>
          </cell>
          <cell r="F39">
            <v>0</v>
          </cell>
        </row>
        <row r="40">
          <cell r="C40">
            <v>9850926.8469999973</v>
          </cell>
          <cell r="D40">
            <v>3394715.2029999988</v>
          </cell>
          <cell r="E40">
            <v>11881.330000000002</v>
          </cell>
          <cell r="F40">
            <v>0</v>
          </cell>
        </row>
        <row r="41">
          <cell r="C41">
            <v>10054548.994999997</v>
          </cell>
          <cell r="D41">
            <v>3472147.9949999996</v>
          </cell>
          <cell r="E41">
            <v>20040.18</v>
          </cell>
          <cell r="F41">
            <v>1000</v>
          </cell>
        </row>
        <row r="42">
          <cell r="C42">
            <v>9728985.6939999964</v>
          </cell>
          <cell r="D42">
            <v>3281667.9459999986</v>
          </cell>
          <cell r="E42">
            <v>16871.2</v>
          </cell>
          <cell r="F42">
            <v>0</v>
          </cell>
        </row>
        <row r="43">
          <cell r="C43">
            <v>9642386.5439999998</v>
          </cell>
          <cell r="D43">
            <v>3257603.676</v>
          </cell>
          <cell r="E43">
            <v>22452.87</v>
          </cell>
          <cell r="F43">
            <v>0</v>
          </cell>
        </row>
        <row r="44">
          <cell r="C44">
            <v>10697745.655999998</v>
          </cell>
          <cell r="D44">
            <v>3562552.3839999987</v>
          </cell>
          <cell r="E44">
            <v>16270.3</v>
          </cell>
          <cell r="F44">
            <v>0</v>
          </cell>
        </row>
        <row r="45">
          <cell r="C45">
            <v>7975325.9510000013</v>
          </cell>
          <cell r="D45">
            <v>2732919.279000001</v>
          </cell>
          <cell r="E45">
            <v>25817.42</v>
          </cell>
          <cell r="F45">
            <v>0</v>
          </cell>
        </row>
        <row r="46">
          <cell r="C46">
            <v>9826057.5600000005</v>
          </cell>
          <cell r="D46">
            <v>3320519.02</v>
          </cell>
          <cell r="E46">
            <v>18271.34</v>
          </cell>
          <cell r="F46">
            <v>0</v>
          </cell>
        </row>
        <row r="47">
          <cell r="C47">
            <v>11889788.977999996</v>
          </cell>
          <cell r="D47">
            <v>3977917.2419999987</v>
          </cell>
          <cell r="E47">
            <v>10428.030000000001</v>
          </cell>
          <cell r="F47">
            <v>0</v>
          </cell>
        </row>
      </sheetData>
      <sheetData sheetId="3"/>
      <sheetData sheetId="4"/>
      <sheetData sheetId="5">
        <row r="19">
          <cell r="C19">
            <v>54447578.43</v>
          </cell>
          <cell r="D19">
            <v>552039.81999999995</v>
          </cell>
          <cell r="E19">
            <v>49202176.030000001</v>
          </cell>
          <cell r="F19">
            <v>4693362.58</v>
          </cell>
          <cell r="H19">
            <v>839.36</v>
          </cell>
          <cell r="L19">
            <v>9</v>
          </cell>
          <cell r="M19">
            <v>1013862</v>
          </cell>
          <cell r="N19">
            <v>0</v>
          </cell>
          <cell r="O19">
            <v>241232.75</v>
          </cell>
          <cell r="Q19">
            <v>0</v>
          </cell>
          <cell r="R19">
            <v>0</v>
          </cell>
          <cell r="T19">
            <v>398497.48</v>
          </cell>
          <cell r="V19">
            <v>5333092.8100000005</v>
          </cell>
        </row>
        <row r="20">
          <cell r="C20">
            <v>96956929.200000003</v>
          </cell>
          <cell r="D20">
            <v>1605101.92</v>
          </cell>
          <cell r="E20">
            <v>87757639.219999999</v>
          </cell>
          <cell r="F20">
            <v>7594188.0599999996</v>
          </cell>
          <cell r="H20">
            <v>974</v>
          </cell>
          <cell r="L20">
            <v>16.96</v>
          </cell>
          <cell r="M20">
            <v>6481794</v>
          </cell>
          <cell r="N20">
            <v>0</v>
          </cell>
          <cell r="O20">
            <v>1001189</v>
          </cell>
          <cell r="Q20">
            <v>0</v>
          </cell>
          <cell r="R20">
            <v>0</v>
          </cell>
          <cell r="T20">
            <v>771299.4</v>
          </cell>
          <cell r="V20">
            <v>9366676.459999999</v>
          </cell>
        </row>
        <row r="21">
          <cell r="C21">
            <v>76238195.310000002</v>
          </cell>
          <cell r="D21">
            <v>1218345.04</v>
          </cell>
          <cell r="E21">
            <v>69214003.719999999</v>
          </cell>
          <cell r="F21">
            <v>5805846.5</v>
          </cell>
          <cell r="H21">
            <v>989</v>
          </cell>
          <cell r="L21">
            <v>22.83</v>
          </cell>
          <cell r="M21">
            <v>5805247</v>
          </cell>
          <cell r="N21">
            <v>0</v>
          </cell>
          <cell r="O21">
            <v>833044.5</v>
          </cell>
          <cell r="Q21">
            <v>0</v>
          </cell>
          <cell r="R21">
            <v>0</v>
          </cell>
          <cell r="T21">
            <v>949710.45</v>
          </cell>
          <cell r="V21">
            <v>7588601.4500000002</v>
          </cell>
        </row>
        <row r="22">
          <cell r="C22">
            <v>66245533.539999999</v>
          </cell>
          <cell r="D22">
            <v>970339.58</v>
          </cell>
          <cell r="E22">
            <v>60308192.210000001</v>
          </cell>
          <cell r="F22">
            <v>4967001.75</v>
          </cell>
          <cell r="H22">
            <v>979</v>
          </cell>
          <cell r="L22">
            <v>23</v>
          </cell>
          <cell r="M22">
            <v>4410786.5</v>
          </cell>
          <cell r="N22">
            <v>0</v>
          </cell>
          <cell r="O22">
            <v>998540.5</v>
          </cell>
          <cell r="Q22">
            <v>0</v>
          </cell>
          <cell r="R22">
            <v>0</v>
          </cell>
          <cell r="T22">
            <v>922717.54</v>
          </cell>
          <cell r="V22">
            <v>6888259.79</v>
          </cell>
        </row>
        <row r="23">
          <cell r="C23">
            <v>80216646.109999999</v>
          </cell>
          <cell r="D23">
            <v>972785.82</v>
          </cell>
          <cell r="E23">
            <v>73003726.579999998</v>
          </cell>
          <cell r="F23">
            <v>6240133.71</v>
          </cell>
          <cell r="H23">
            <v>983.83</v>
          </cell>
          <cell r="L23">
            <v>23</v>
          </cell>
          <cell r="M23">
            <v>4956258</v>
          </cell>
          <cell r="N23">
            <v>0</v>
          </cell>
          <cell r="O23">
            <v>501246.25</v>
          </cell>
          <cell r="Q23">
            <v>0</v>
          </cell>
          <cell r="R23">
            <v>0</v>
          </cell>
          <cell r="T23">
            <v>1270812.3600000001</v>
          </cell>
          <cell r="V23">
            <v>8012192.3200000003</v>
          </cell>
        </row>
        <row r="24">
          <cell r="C24">
            <v>85390056.989999995</v>
          </cell>
          <cell r="D24">
            <v>1018391.13</v>
          </cell>
          <cell r="E24">
            <v>77698629.239999995</v>
          </cell>
          <cell r="F24">
            <v>6673036.6200000001</v>
          </cell>
          <cell r="H24">
            <v>972.35</v>
          </cell>
          <cell r="L24">
            <v>23</v>
          </cell>
          <cell r="M24">
            <v>5241745</v>
          </cell>
          <cell r="N24">
            <v>0</v>
          </cell>
          <cell r="O24">
            <v>752857.5</v>
          </cell>
          <cell r="Q24">
            <v>0</v>
          </cell>
          <cell r="R24">
            <v>0</v>
          </cell>
          <cell r="T24">
            <v>376117.59</v>
          </cell>
          <cell r="V24">
            <v>7802011.71</v>
          </cell>
        </row>
        <row r="25">
          <cell r="C25">
            <v>111135422.87</v>
          </cell>
          <cell r="D25">
            <v>1188884.56</v>
          </cell>
          <cell r="E25">
            <v>101123814.88</v>
          </cell>
          <cell r="F25">
            <v>8822723.4299999997</v>
          </cell>
          <cell r="H25">
            <v>989</v>
          </cell>
          <cell r="L25">
            <v>23.96</v>
          </cell>
          <cell r="M25">
            <v>6823336</v>
          </cell>
          <cell r="N25">
            <v>0</v>
          </cell>
          <cell r="O25">
            <v>1156141.5</v>
          </cell>
          <cell r="Q25">
            <v>0</v>
          </cell>
          <cell r="R25">
            <v>0</v>
          </cell>
          <cell r="T25">
            <v>697149.35</v>
          </cell>
          <cell r="V25">
            <v>10676014.279999999</v>
          </cell>
        </row>
        <row r="26">
          <cell r="H26">
            <v>965.99</v>
          </cell>
        </row>
        <row r="41">
          <cell r="C41">
            <v>3532575.6324</v>
          </cell>
          <cell r="D41">
            <v>1800517.1776000001</v>
          </cell>
          <cell r="E41">
            <v>33553.949999999997</v>
          </cell>
          <cell r="F41">
            <v>12913.27</v>
          </cell>
        </row>
        <row r="42">
          <cell r="C42">
            <v>6379578.0377999991</v>
          </cell>
          <cell r="D42">
            <v>2987098.4221999994</v>
          </cell>
          <cell r="E42">
            <v>33646.080000000002</v>
          </cell>
          <cell r="F42">
            <v>5000</v>
          </cell>
        </row>
        <row r="43">
          <cell r="C43">
            <v>5262162.75</v>
          </cell>
          <cell r="D43">
            <v>2326438.7000000002</v>
          </cell>
          <cell r="E43">
            <v>30298.84</v>
          </cell>
          <cell r="F43">
            <v>29478.7</v>
          </cell>
        </row>
        <row r="44">
          <cell r="C44">
            <v>4858343.3385000005</v>
          </cell>
          <cell r="D44">
            <v>2029916.4515</v>
          </cell>
          <cell r="E44">
            <v>40025.1</v>
          </cell>
          <cell r="F44">
            <v>0</v>
          </cell>
        </row>
        <row r="45">
          <cell r="C45">
            <v>5526136.9863</v>
          </cell>
          <cell r="D45">
            <v>2486055.3336999998</v>
          </cell>
          <cell r="E45">
            <v>38024.21</v>
          </cell>
          <cell r="F45">
            <v>0</v>
          </cell>
        </row>
        <row r="46">
          <cell r="C46">
            <v>5220090.6516000004</v>
          </cell>
          <cell r="D46">
            <v>2581921.0584</v>
          </cell>
          <cell r="E46">
            <v>59784.83</v>
          </cell>
          <cell r="F46">
            <v>0</v>
          </cell>
        </row>
        <row r="47">
          <cell r="C47">
            <v>7226277.5259000007</v>
          </cell>
          <cell r="D47">
            <v>3449736.7541</v>
          </cell>
          <cell r="E47">
            <v>17896.36</v>
          </cell>
          <cell r="F47">
            <v>0</v>
          </cell>
        </row>
      </sheetData>
      <sheetData sheetId="6">
        <row r="14">
          <cell r="C14">
            <v>138342937.19999999</v>
          </cell>
          <cell r="D14">
            <v>2524023.2400000002</v>
          </cell>
          <cell r="E14">
            <v>125520228.37</v>
          </cell>
          <cell r="F14">
            <v>10298685.59</v>
          </cell>
          <cell r="H14">
            <v>1950</v>
          </cell>
          <cell r="L14">
            <v>77</v>
          </cell>
          <cell r="M14">
            <v>16596978.1</v>
          </cell>
          <cell r="N14">
            <v>281851</v>
          </cell>
          <cell r="O14">
            <v>2754114.35</v>
          </cell>
          <cell r="Q14">
            <v>14</v>
          </cell>
          <cell r="R14">
            <v>250477</v>
          </cell>
          <cell r="V14">
            <v>13303276.939999999</v>
          </cell>
        </row>
        <row r="15">
          <cell r="C15">
            <v>147248305</v>
          </cell>
          <cell r="D15">
            <v>2908317.61</v>
          </cell>
          <cell r="E15">
            <v>133912790.28</v>
          </cell>
          <cell r="F15">
            <v>10427197.109999999</v>
          </cell>
          <cell r="H15">
            <v>1866</v>
          </cell>
          <cell r="L15">
            <v>68</v>
          </cell>
          <cell r="M15">
            <v>19034243</v>
          </cell>
          <cell r="N15">
            <v>341250</v>
          </cell>
          <cell r="O15">
            <v>2733633.75</v>
          </cell>
          <cell r="Q15">
            <v>14</v>
          </cell>
          <cell r="R15">
            <v>238214</v>
          </cell>
          <cell r="V15">
            <v>13399044.859999999</v>
          </cell>
        </row>
        <row r="16">
          <cell r="C16">
            <v>132828772.40000001</v>
          </cell>
          <cell r="D16">
            <v>2456246.2999999998</v>
          </cell>
          <cell r="E16">
            <v>120288797.17</v>
          </cell>
          <cell r="F16">
            <v>10083728.93</v>
          </cell>
          <cell r="H16">
            <v>1728</v>
          </cell>
          <cell r="L16">
            <v>66</v>
          </cell>
          <cell r="M16">
            <v>15357818</v>
          </cell>
          <cell r="N16">
            <v>372425</v>
          </cell>
          <cell r="O16">
            <v>2529083.5</v>
          </cell>
          <cell r="Q16">
            <v>14</v>
          </cell>
          <cell r="R16">
            <v>204100</v>
          </cell>
          <cell r="V16">
            <v>12816912.43</v>
          </cell>
        </row>
        <row r="17">
          <cell r="C17">
            <v>135005521.74000001</v>
          </cell>
          <cell r="D17">
            <v>2425582.25</v>
          </cell>
          <cell r="E17">
            <v>122897716.06999999</v>
          </cell>
          <cell r="F17">
            <v>9682223.4199999999</v>
          </cell>
          <cell r="H17">
            <v>1647</v>
          </cell>
          <cell r="L17">
            <v>66</v>
          </cell>
          <cell r="M17">
            <v>17929370.050000001</v>
          </cell>
          <cell r="N17">
            <v>366610</v>
          </cell>
          <cell r="O17">
            <v>4360097.55</v>
          </cell>
          <cell r="Q17">
            <v>14</v>
          </cell>
          <cell r="R17">
            <v>221474</v>
          </cell>
          <cell r="V17">
            <v>14263794.969999999</v>
          </cell>
        </row>
        <row r="18">
          <cell r="C18">
            <v>136304754.99000001</v>
          </cell>
          <cell r="D18">
            <v>2513283.23</v>
          </cell>
          <cell r="E18">
            <v>123371022.56</v>
          </cell>
          <cell r="F18">
            <v>10420449.199999999</v>
          </cell>
          <cell r="H18">
            <v>1645</v>
          </cell>
          <cell r="L18">
            <v>66</v>
          </cell>
          <cell r="M18">
            <v>15510810.1</v>
          </cell>
          <cell r="N18">
            <v>354600</v>
          </cell>
          <cell r="O18">
            <v>2397795.85</v>
          </cell>
          <cell r="Q18">
            <v>14</v>
          </cell>
          <cell r="R18">
            <v>246253</v>
          </cell>
          <cell r="T18">
            <v>182949.94</v>
          </cell>
          <cell r="V18">
            <v>13247447.989999998</v>
          </cell>
        </row>
        <row r="19">
          <cell r="C19">
            <v>125980452.88</v>
          </cell>
          <cell r="D19">
            <v>2398071.2999999998</v>
          </cell>
          <cell r="E19">
            <v>114206559.98</v>
          </cell>
          <cell r="F19">
            <v>9375821.5999999996</v>
          </cell>
          <cell r="H19">
            <v>1650</v>
          </cell>
          <cell r="L19">
            <v>66</v>
          </cell>
          <cell r="M19">
            <v>17948251.050000001</v>
          </cell>
          <cell r="N19">
            <v>410895</v>
          </cell>
          <cell r="O19">
            <v>3744741.05</v>
          </cell>
          <cell r="Q19">
            <v>14</v>
          </cell>
          <cell r="R19">
            <v>237257</v>
          </cell>
          <cell r="T19">
            <v>836928.61</v>
          </cell>
          <cell r="V19">
            <v>14194748.259999998</v>
          </cell>
        </row>
        <row r="20">
          <cell r="C20">
            <v>125337326.53</v>
          </cell>
          <cell r="D20">
            <v>2105313.16</v>
          </cell>
          <cell r="E20">
            <v>113630166.64</v>
          </cell>
          <cell r="F20">
            <v>9601846.7300000004</v>
          </cell>
          <cell r="H20">
            <v>1650</v>
          </cell>
          <cell r="L20">
            <v>66</v>
          </cell>
          <cell r="M20">
            <v>18351614</v>
          </cell>
          <cell r="N20">
            <v>444390</v>
          </cell>
          <cell r="O20">
            <v>2888826</v>
          </cell>
          <cell r="Q20">
            <v>14</v>
          </cell>
          <cell r="R20">
            <v>245683</v>
          </cell>
          <cell r="T20">
            <v>572409.81999999995</v>
          </cell>
          <cell r="V20">
            <v>13308765.550000001</v>
          </cell>
        </row>
        <row r="21">
          <cell r="C21">
            <v>118008434.06</v>
          </cell>
          <cell r="D21">
            <v>1760910.78</v>
          </cell>
          <cell r="E21">
            <v>107027625.5</v>
          </cell>
          <cell r="F21">
            <v>9219897.7799999993</v>
          </cell>
          <cell r="H21">
            <v>1650</v>
          </cell>
          <cell r="L21">
            <v>66</v>
          </cell>
          <cell r="M21">
            <v>18017145</v>
          </cell>
          <cell r="N21">
            <v>442435</v>
          </cell>
          <cell r="O21">
            <v>3394215.75</v>
          </cell>
          <cell r="Q21">
            <v>14</v>
          </cell>
          <cell r="R21">
            <v>242550</v>
          </cell>
          <cell r="T21">
            <v>230091.69</v>
          </cell>
          <cell r="V21">
            <v>13086755.219999999</v>
          </cell>
        </row>
        <row r="22">
          <cell r="C22">
            <v>111792876.12</v>
          </cell>
          <cell r="D22">
            <v>1499347.86</v>
          </cell>
          <cell r="E22">
            <v>101630172.91</v>
          </cell>
          <cell r="F22">
            <v>8663355.3499999996</v>
          </cell>
          <cell r="H22">
            <v>1669</v>
          </cell>
          <cell r="L22">
            <v>66</v>
          </cell>
          <cell r="M22">
            <v>17335499</v>
          </cell>
          <cell r="N22">
            <v>423870</v>
          </cell>
          <cell r="O22">
            <v>3056726.75</v>
          </cell>
          <cell r="Q22">
            <v>14</v>
          </cell>
          <cell r="R22">
            <v>230569</v>
          </cell>
          <cell r="T22">
            <v>335282.74</v>
          </cell>
          <cell r="V22">
            <v>12285933.84</v>
          </cell>
        </row>
        <row r="23">
          <cell r="C23">
            <v>111906875.69</v>
          </cell>
          <cell r="D23">
            <v>1546534.76</v>
          </cell>
          <cell r="E23">
            <v>101571213.83</v>
          </cell>
          <cell r="F23">
            <v>8789127.0999999996</v>
          </cell>
          <cell r="H23">
            <v>1704</v>
          </cell>
          <cell r="L23">
            <v>66</v>
          </cell>
          <cell r="M23">
            <v>16586464</v>
          </cell>
          <cell r="N23">
            <v>264745</v>
          </cell>
          <cell r="O23">
            <v>3396917</v>
          </cell>
          <cell r="Q23">
            <v>14</v>
          </cell>
          <cell r="R23">
            <v>240725</v>
          </cell>
          <cell r="T23">
            <v>610250.19999999995</v>
          </cell>
          <cell r="V23">
            <v>13037019.299999999</v>
          </cell>
        </row>
        <row r="24">
          <cell r="C24">
            <v>116682712.23</v>
          </cell>
          <cell r="D24">
            <v>1641414.8</v>
          </cell>
          <cell r="E24">
            <v>105483789.5</v>
          </cell>
          <cell r="F24">
            <v>9557507.9299999997</v>
          </cell>
          <cell r="H24">
            <v>1704</v>
          </cell>
          <cell r="L24">
            <v>66</v>
          </cell>
          <cell r="M24">
            <v>15558668.25</v>
          </cell>
          <cell r="N24">
            <v>282385</v>
          </cell>
          <cell r="O24">
            <v>2679486.5</v>
          </cell>
          <cell r="Q24">
            <v>14</v>
          </cell>
          <cell r="R24">
            <v>244352</v>
          </cell>
          <cell r="T24">
            <v>98247.33</v>
          </cell>
          <cell r="V24">
            <v>12579593.76</v>
          </cell>
        </row>
        <row r="25">
          <cell r="C25">
            <v>58152595.830000006</v>
          </cell>
          <cell r="D25">
            <v>816010.02</v>
          </cell>
          <cell r="E25">
            <v>52740107.25</v>
          </cell>
          <cell r="F25">
            <v>4596478.5599999996</v>
          </cell>
          <cell r="H25">
            <v>1703.4666666666667</v>
          </cell>
          <cell r="L25">
            <v>66</v>
          </cell>
          <cell r="M25">
            <v>8399121</v>
          </cell>
          <cell r="N25">
            <v>143490</v>
          </cell>
          <cell r="O25">
            <v>1695361.75</v>
          </cell>
          <cell r="Q25">
            <v>14</v>
          </cell>
          <cell r="R25">
            <v>108633</v>
          </cell>
          <cell r="T25">
            <v>53861.3</v>
          </cell>
          <cell r="V25">
            <v>6454334.6099999994</v>
          </cell>
        </row>
        <row r="26">
          <cell r="H26">
            <v>1714</v>
          </cell>
          <cell r="L26">
            <v>67</v>
          </cell>
          <cell r="Q26">
            <v>14</v>
          </cell>
        </row>
        <row r="36">
          <cell r="C36">
            <v>9192304.1367000006</v>
          </cell>
          <cell r="D36">
            <v>4110972.8032999998</v>
          </cell>
          <cell r="E36">
            <v>12808.73</v>
          </cell>
          <cell r="F36">
            <v>0</v>
          </cell>
        </row>
        <row r="37">
          <cell r="C37">
            <v>9243797.1543000005</v>
          </cell>
          <cell r="D37">
            <v>4155247.7056999998</v>
          </cell>
          <cell r="E37">
            <v>15384.78</v>
          </cell>
          <cell r="F37">
            <v>175000</v>
          </cell>
        </row>
        <row r="38">
          <cell r="C38">
            <v>8812614.3759000003</v>
          </cell>
          <cell r="D38">
            <v>4004298.0540999998</v>
          </cell>
          <cell r="E38">
            <v>9484.4</v>
          </cell>
          <cell r="F38">
            <v>0</v>
          </cell>
        </row>
        <row r="39">
          <cell r="C39">
            <v>10223215.149599999</v>
          </cell>
          <cell r="D39">
            <v>4040579.8203999996</v>
          </cell>
          <cell r="E39">
            <v>9440.7900000000009</v>
          </cell>
          <cell r="F39">
            <v>25000</v>
          </cell>
        </row>
        <row r="40">
          <cell r="C40">
            <v>9109181.9069999997</v>
          </cell>
          <cell r="D40">
            <v>4138266.0830000001</v>
          </cell>
          <cell r="E40">
            <v>7499.31</v>
          </cell>
          <cell r="F40">
            <v>0</v>
          </cell>
        </row>
        <row r="41">
          <cell r="C41">
            <v>10243801.602</v>
          </cell>
          <cell r="D41">
            <v>3950946.6579999998</v>
          </cell>
          <cell r="E41">
            <v>8161.52</v>
          </cell>
          <cell r="F41">
            <v>0</v>
          </cell>
        </row>
        <row r="42">
          <cell r="C42">
            <v>9385390.3779000007</v>
          </cell>
          <cell r="D42">
            <v>3923375.1721000001</v>
          </cell>
          <cell r="E42">
            <v>8863.65</v>
          </cell>
          <cell r="F42">
            <v>30000</v>
          </cell>
        </row>
        <row r="43">
          <cell r="C43">
            <v>9288707.2973999996</v>
          </cell>
          <cell r="D43">
            <v>3798047.9225999997</v>
          </cell>
          <cell r="E43">
            <v>9524.32</v>
          </cell>
          <cell r="F43">
            <v>25000</v>
          </cell>
        </row>
        <row r="44">
          <cell r="C44">
            <v>8718234.511500001</v>
          </cell>
          <cell r="D44">
            <v>3567699.3284999998</v>
          </cell>
          <cell r="E44">
            <v>5805.44</v>
          </cell>
          <cell r="F44">
            <v>0</v>
          </cell>
        </row>
        <row r="45">
          <cell r="C45">
            <v>9360253.0529999994</v>
          </cell>
          <cell r="D45">
            <v>3676766.247</v>
          </cell>
          <cell r="E45">
            <v>7459.4</v>
          </cell>
          <cell r="F45">
            <v>0</v>
          </cell>
        </row>
        <row r="46">
          <cell r="C46">
            <v>8741107.242899999</v>
          </cell>
          <cell r="D46">
            <v>3838486.5170999998</v>
          </cell>
          <cell r="E46">
            <v>57986.84</v>
          </cell>
          <cell r="F46">
            <v>0</v>
          </cell>
        </row>
        <row r="47">
          <cell r="C47">
            <v>4567851.9377999995</v>
          </cell>
          <cell r="D47">
            <v>1886482.6721999999</v>
          </cell>
          <cell r="E47">
            <v>6027.68</v>
          </cell>
          <cell r="F47">
            <v>5000</v>
          </cell>
        </row>
      </sheetData>
      <sheetData sheetId="7">
        <row r="14">
          <cell r="C14">
            <v>128602879.20999999</v>
          </cell>
          <cell r="D14">
            <v>2126906.73</v>
          </cell>
          <cell r="E14">
            <v>116995643.47</v>
          </cell>
          <cell r="F14">
            <v>9480329.0099999998</v>
          </cell>
          <cell r="H14">
            <v>1960</v>
          </cell>
          <cell r="L14">
            <v>85</v>
          </cell>
          <cell r="M14">
            <v>17628892</v>
          </cell>
          <cell r="N14">
            <v>356235</v>
          </cell>
          <cell r="O14">
            <v>2690206</v>
          </cell>
          <cell r="Q14">
            <v>14</v>
          </cell>
          <cell r="R14">
            <v>287541.01</v>
          </cell>
          <cell r="V14">
            <v>12458076.02</v>
          </cell>
        </row>
        <row r="15">
          <cell r="C15">
            <v>120721679.06999999</v>
          </cell>
          <cell r="D15">
            <v>1922971.87</v>
          </cell>
          <cell r="E15">
            <v>109877464.29000001</v>
          </cell>
          <cell r="F15">
            <v>8921242.9100000001</v>
          </cell>
          <cell r="H15">
            <v>1960</v>
          </cell>
          <cell r="L15">
            <v>85</v>
          </cell>
          <cell r="M15">
            <v>17045002.5</v>
          </cell>
          <cell r="N15">
            <v>419685</v>
          </cell>
          <cell r="O15">
            <v>3080656.75</v>
          </cell>
          <cell r="Q15">
            <v>14</v>
          </cell>
          <cell r="R15">
            <v>255973</v>
          </cell>
          <cell r="V15">
            <v>12257872.66</v>
          </cell>
        </row>
        <row r="16">
          <cell r="C16">
            <v>122921523.18000001</v>
          </cell>
          <cell r="D16">
            <v>1930922.35</v>
          </cell>
          <cell r="E16">
            <v>111975353.18000001</v>
          </cell>
          <cell r="F16">
            <v>9015247.6500000004</v>
          </cell>
          <cell r="H16">
            <v>1960</v>
          </cell>
          <cell r="L16">
            <v>85</v>
          </cell>
          <cell r="M16">
            <v>16261652.050000001</v>
          </cell>
          <cell r="N16">
            <v>358305</v>
          </cell>
          <cell r="O16">
            <v>2898947.55</v>
          </cell>
          <cell r="Q16">
            <v>14</v>
          </cell>
          <cell r="R16">
            <v>224294</v>
          </cell>
          <cell r="V16">
            <v>12138489.199999999</v>
          </cell>
        </row>
        <row r="17">
          <cell r="C17">
            <v>129293996.09999999</v>
          </cell>
          <cell r="D17">
            <v>1748124.6</v>
          </cell>
          <cell r="E17">
            <v>117365923.84999999</v>
          </cell>
          <cell r="F17">
            <v>10179947.65</v>
          </cell>
          <cell r="H17">
            <v>1957</v>
          </cell>
          <cell r="L17">
            <v>85</v>
          </cell>
          <cell r="M17">
            <v>17859473</v>
          </cell>
          <cell r="N17">
            <v>438690</v>
          </cell>
          <cell r="O17">
            <v>2578296.75</v>
          </cell>
          <cell r="Q17">
            <v>14</v>
          </cell>
          <cell r="R17">
            <v>225431</v>
          </cell>
          <cell r="V17">
            <v>12983675.4</v>
          </cell>
        </row>
        <row r="18">
          <cell r="C18">
            <v>153212127.81999999</v>
          </cell>
          <cell r="D18">
            <v>3285002.71</v>
          </cell>
          <cell r="E18">
            <v>139310598.88999999</v>
          </cell>
          <cell r="F18">
            <v>10616526.220000001</v>
          </cell>
          <cell r="H18">
            <v>1960</v>
          </cell>
          <cell r="L18">
            <v>77</v>
          </cell>
          <cell r="M18">
            <v>17440215</v>
          </cell>
          <cell r="N18">
            <v>415925</v>
          </cell>
          <cell r="O18">
            <v>2551088.5</v>
          </cell>
          <cell r="Q18">
            <v>14</v>
          </cell>
          <cell r="R18">
            <v>234095</v>
          </cell>
          <cell r="V18">
            <v>13401709.720000001</v>
          </cell>
        </row>
        <row r="19">
          <cell r="C19">
            <v>143380116.36000001</v>
          </cell>
          <cell r="D19">
            <v>2433338.27</v>
          </cell>
          <cell r="E19">
            <v>130555095.54000001</v>
          </cell>
          <cell r="F19">
            <v>10391682.550000001</v>
          </cell>
          <cell r="H19">
            <v>1964</v>
          </cell>
          <cell r="L19">
            <v>76</v>
          </cell>
          <cell r="M19">
            <v>16829275</v>
          </cell>
          <cell r="N19">
            <v>327065</v>
          </cell>
          <cell r="O19">
            <v>2934840.25</v>
          </cell>
          <cell r="Q19">
            <v>14</v>
          </cell>
          <cell r="R19">
            <v>212564.5</v>
          </cell>
          <cell r="V19">
            <v>13539087.300000001</v>
          </cell>
        </row>
        <row r="20">
          <cell r="C20">
            <v>136759989.63999999</v>
          </cell>
          <cell r="D20">
            <v>2336100.9300000002</v>
          </cell>
          <cell r="E20">
            <v>124342677.56999999</v>
          </cell>
          <cell r="F20">
            <v>10081211.140000001</v>
          </cell>
          <cell r="H20">
            <v>1964</v>
          </cell>
          <cell r="L20">
            <v>76</v>
          </cell>
          <cell r="M20">
            <v>16522775.25</v>
          </cell>
          <cell r="N20">
            <v>317430</v>
          </cell>
          <cell r="O20">
            <v>2889951</v>
          </cell>
          <cell r="Q20">
            <v>14</v>
          </cell>
          <cell r="R20">
            <v>241959</v>
          </cell>
          <cell r="V20">
            <v>13213121.140000001</v>
          </cell>
        </row>
        <row r="21">
          <cell r="C21">
            <v>126349270.33</v>
          </cell>
          <cell r="D21">
            <v>2319670.2999999998</v>
          </cell>
          <cell r="E21">
            <v>114865852.5</v>
          </cell>
          <cell r="F21">
            <v>9163747.5299999993</v>
          </cell>
          <cell r="H21">
            <v>1964</v>
          </cell>
          <cell r="L21">
            <v>76</v>
          </cell>
          <cell r="M21">
            <v>16290822</v>
          </cell>
          <cell r="N21">
            <v>328140</v>
          </cell>
          <cell r="O21">
            <v>3200633</v>
          </cell>
          <cell r="Q21">
            <v>14</v>
          </cell>
          <cell r="R21">
            <v>249456</v>
          </cell>
          <cell r="V21">
            <v>12613836.529999999</v>
          </cell>
        </row>
        <row r="22">
          <cell r="C22">
            <v>129516718.43000001</v>
          </cell>
          <cell r="D22">
            <v>2190947.11</v>
          </cell>
          <cell r="E22">
            <v>117508627.65000001</v>
          </cell>
          <cell r="F22">
            <v>9817143.6699999999</v>
          </cell>
          <cell r="H22">
            <v>1959</v>
          </cell>
          <cell r="L22">
            <v>77</v>
          </cell>
          <cell r="M22">
            <v>16319761</v>
          </cell>
          <cell r="N22">
            <v>347215</v>
          </cell>
          <cell r="O22">
            <v>2889672.75</v>
          </cell>
          <cell r="Q22">
            <v>14</v>
          </cell>
          <cell r="R22">
            <v>284883</v>
          </cell>
          <cell r="V22">
            <v>12991699.42</v>
          </cell>
        </row>
        <row r="23">
          <cell r="C23">
            <v>109847628.84</v>
          </cell>
          <cell r="D23">
            <v>2002116.49</v>
          </cell>
          <cell r="E23">
            <v>99922886.370000005</v>
          </cell>
          <cell r="F23">
            <v>7922625.9800000004</v>
          </cell>
          <cell r="H23">
            <v>1950</v>
          </cell>
          <cell r="L23">
            <v>77</v>
          </cell>
          <cell r="M23">
            <v>14418872.5</v>
          </cell>
          <cell r="N23">
            <v>306015</v>
          </cell>
          <cell r="O23">
            <v>2547444.5</v>
          </cell>
          <cell r="Q23">
            <v>14</v>
          </cell>
          <cell r="R23">
            <v>247446</v>
          </cell>
          <cell r="V23">
            <v>10717516.48</v>
          </cell>
        </row>
        <row r="24">
          <cell r="C24">
            <v>120359348.91</v>
          </cell>
          <cell r="D24">
            <v>2011069.28</v>
          </cell>
          <cell r="E24">
            <v>109279975.11</v>
          </cell>
          <cell r="F24">
            <v>9068304.5199999996</v>
          </cell>
          <cell r="H24">
            <v>1950</v>
          </cell>
          <cell r="L24">
            <v>77</v>
          </cell>
          <cell r="M24">
            <v>13887547</v>
          </cell>
          <cell r="N24">
            <v>237855</v>
          </cell>
          <cell r="O24">
            <v>2576759.75</v>
          </cell>
          <cell r="Q24">
            <v>14</v>
          </cell>
          <cell r="R24">
            <v>244148</v>
          </cell>
          <cell r="V24">
            <v>11889212.27</v>
          </cell>
        </row>
        <row r="25">
          <cell r="C25">
            <v>156795896.59</v>
          </cell>
          <cell r="D25">
            <v>2807817.56</v>
          </cell>
          <cell r="E25">
            <v>142872211.72</v>
          </cell>
          <cell r="F25">
            <v>11115867.310000001</v>
          </cell>
          <cell r="H25">
            <v>1950</v>
          </cell>
          <cell r="L25">
            <v>77</v>
          </cell>
          <cell r="M25">
            <v>17345187</v>
          </cell>
          <cell r="N25">
            <v>288945</v>
          </cell>
          <cell r="O25">
            <v>3357748</v>
          </cell>
          <cell r="Q25">
            <v>14</v>
          </cell>
          <cell r="R25">
            <v>293964</v>
          </cell>
          <cell r="V25">
            <v>14767579.310000001</v>
          </cell>
        </row>
        <row r="26">
          <cell r="H26">
            <v>1958</v>
          </cell>
          <cell r="L26">
            <v>79</v>
          </cell>
          <cell r="Q26">
            <v>14</v>
          </cell>
        </row>
        <row r="36">
          <cell r="C36">
            <v>8652579.5853000004</v>
          </cell>
          <cell r="D36">
            <v>3805496.4346999996</v>
          </cell>
          <cell r="E36">
            <v>16556.91</v>
          </cell>
          <cell r="F36">
            <v>0</v>
          </cell>
        </row>
        <row r="37">
          <cell r="C37">
            <v>8623349.8082999997</v>
          </cell>
          <cell r="D37">
            <v>3634522.8517</v>
          </cell>
          <cell r="E37">
            <v>16080.21</v>
          </cell>
          <cell r="F37">
            <v>0</v>
          </cell>
        </row>
        <row r="38">
          <cell r="C38">
            <v>8490523.4145</v>
          </cell>
          <cell r="D38">
            <v>3647965.7854999998</v>
          </cell>
          <cell r="E38">
            <v>8736.2999999999993</v>
          </cell>
          <cell r="F38">
            <v>0</v>
          </cell>
        </row>
        <row r="39">
          <cell r="C39">
            <v>8936721.9945</v>
          </cell>
          <cell r="D39">
            <v>4046953.4054999999</v>
          </cell>
          <cell r="E39">
            <v>10823</v>
          </cell>
          <cell r="F39">
            <v>0</v>
          </cell>
        </row>
        <row r="40">
          <cell r="C40">
            <v>9195076.6686000004</v>
          </cell>
          <cell r="D40">
            <v>4206633.0514000002</v>
          </cell>
          <cell r="E40">
            <v>10855.88</v>
          </cell>
          <cell r="F40">
            <v>0</v>
          </cell>
        </row>
        <row r="41">
          <cell r="C41">
            <v>9379424.2815000005</v>
          </cell>
          <cell r="D41">
            <v>4159663.0185000002</v>
          </cell>
          <cell r="E41">
            <v>11303.73</v>
          </cell>
          <cell r="F41">
            <v>0</v>
          </cell>
        </row>
        <row r="42">
          <cell r="C42">
            <v>9169882.0182000007</v>
          </cell>
          <cell r="D42">
            <v>4043239.1218000003</v>
          </cell>
          <cell r="E42">
            <v>12252.69</v>
          </cell>
          <cell r="F42">
            <v>0</v>
          </cell>
        </row>
        <row r="43">
          <cell r="C43">
            <v>8878241.0438999999</v>
          </cell>
          <cell r="D43">
            <v>3735595.4860999994</v>
          </cell>
          <cell r="E43">
            <v>12119.63</v>
          </cell>
          <cell r="F43">
            <v>0</v>
          </cell>
        </row>
        <row r="44">
          <cell r="C44">
            <v>9041900.6871000007</v>
          </cell>
          <cell r="D44">
            <v>3949798.7329000002</v>
          </cell>
          <cell r="E44">
            <v>7477.34</v>
          </cell>
          <cell r="F44">
            <v>0</v>
          </cell>
        </row>
        <row r="45">
          <cell r="C45">
            <v>7506655.8174000001</v>
          </cell>
          <cell r="D45">
            <v>3210860.6625999999</v>
          </cell>
          <cell r="E45">
            <v>8942.2999999999993</v>
          </cell>
          <cell r="F45">
            <v>0</v>
          </cell>
        </row>
        <row r="46">
          <cell r="C46">
            <v>8251848.8225999996</v>
          </cell>
          <cell r="D46">
            <v>3637363.4473999995</v>
          </cell>
          <cell r="E46">
            <v>8414.9500000000007</v>
          </cell>
          <cell r="F46">
            <v>0</v>
          </cell>
        </row>
        <row r="47">
          <cell r="C47">
            <v>10289537.205300001</v>
          </cell>
          <cell r="D47">
            <v>4478042.1047</v>
          </cell>
          <cell r="E47">
            <v>13012.11</v>
          </cell>
          <cell r="F47">
            <v>0</v>
          </cell>
        </row>
      </sheetData>
      <sheetData sheetId="8">
        <row r="14">
          <cell r="C14">
            <v>120172299.61000003</v>
          </cell>
          <cell r="D14">
            <v>1627323.5699999998</v>
          </cell>
          <cell r="E14">
            <v>109427481.41999999</v>
          </cell>
          <cell r="H14">
            <v>9117494.620000001</v>
          </cell>
          <cell r="I14">
            <v>1960</v>
          </cell>
          <cell r="L14">
            <v>75.7</v>
          </cell>
          <cell r="M14">
            <v>17501506.75</v>
          </cell>
          <cell r="N14">
            <v>3790</v>
          </cell>
          <cell r="O14">
            <v>3823870.22</v>
          </cell>
          <cell r="Q14">
            <v>12</v>
          </cell>
          <cell r="R14">
            <v>210045</v>
          </cell>
          <cell r="T14">
            <v>13151409.840000002</v>
          </cell>
        </row>
        <row r="15">
          <cell r="C15">
            <v>126281836.59</v>
          </cell>
          <cell r="D15">
            <v>2363227.4699999993</v>
          </cell>
          <cell r="E15">
            <v>114800807.84999999</v>
          </cell>
          <cell r="H15">
            <v>9117801.2699999977</v>
          </cell>
          <cell r="I15">
            <v>1966.8064516129032</v>
          </cell>
          <cell r="L15">
            <v>85</v>
          </cell>
          <cell r="M15">
            <v>15987141</v>
          </cell>
          <cell r="N15">
            <v>54700</v>
          </cell>
          <cell r="O15">
            <v>3401731.74</v>
          </cell>
          <cell r="Q15">
            <v>13.419354838709678</v>
          </cell>
          <cell r="R15">
            <v>213931</v>
          </cell>
          <cell r="T15">
            <v>12733464.009999998</v>
          </cell>
        </row>
        <row r="16">
          <cell r="C16">
            <v>114886527.56999999</v>
          </cell>
          <cell r="D16">
            <v>1978239.63</v>
          </cell>
          <cell r="E16">
            <v>104520562.85999998</v>
          </cell>
          <cell r="H16">
            <v>8387725.0800000019</v>
          </cell>
          <cell r="I16">
            <v>1956.1</v>
          </cell>
          <cell r="L16">
            <v>85</v>
          </cell>
          <cell r="M16">
            <v>14266452.300000001</v>
          </cell>
          <cell r="N16">
            <v>100065</v>
          </cell>
          <cell r="O16">
            <v>2555292.59</v>
          </cell>
          <cell r="Q16">
            <v>14</v>
          </cell>
          <cell r="R16">
            <v>191732</v>
          </cell>
          <cell r="T16">
            <v>11134749.670000002</v>
          </cell>
        </row>
        <row r="17">
          <cell r="C17">
            <v>142847883.34</v>
          </cell>
          <cell r="D17">
            <v>2672844.8400000008</v>
          </cell>
          <cell r="E17">
            <v>130133538.88</v>
          </cell>
          <cell r="H17">
            <v>10077396.620000003</v>
          </cell>
          <cell r="I17">
            <v>1956</v>
          </cell>
          <cell r="L17">
            <v>85</v>
          </cell>
          <cell r="M17">
            <v>17961671.100000001</v>
          </cell>
          <cell r="N17">
            <v>211350</v>
          </cell>
          <cell r="O17">
            <v>2901719.6</v>
          </cell>
          <cell r="Q17">
            <v>14</v>
          </cell>
          <cell r="R17">
            <v>220045</v>
          </cell>
          <cell r="T17">
            <v>13199161.220000003</v>
          </cell>
        </row>
        <row r="18">
          <cell r="C18">
            <v>124491481.40000001</v>
          </cell>
          <cell r="D18">
            <v>1975430.77</v>
          </cell>
          <cell r="E18">
            <v>113631288.08999996</v>
          </cell>
          <cell r="H18">
            <v>8934704.5399999991</v>
          </cell>
          <cell r="I18">
            <v>1956</v>
          </cell>
          <cell r="L18">
            <v>85</v>
          </cell>
          <cell r="M18">
            <v>16334150.75</v>
          </cell>
          <cell r="N18">
            <v>223855</v>
          </cell>
          <cell r="O18">
            <v>2893770.25</v>
          </cell>
          <cell r="Q18">
            <v>14</v>
          </cell>
          <cell r="R18">
            <v>187181</v>
          </cell>
          <cell r="T18">
            <v>12015655.789999999</v>
          </cell>
        </row>
        <row r="19">
          <cell r="C19">
            <v>126709712.99000002</v>
          </cell>
          <cell r="D19">
            <v>1910107.0399999998</v>
          </cell>
          <cell r="E19">
            <v>115441149.43999998</v>
          </cell>
          <cell r="H19">
            <v>9417412.5100000035</v>
          </cell>
          <cell r="I19">
            <v>1956</v>
          </cell>
          <cell r="L19">
            <v>85</v>
          </cell>
          <cell r="M19">
            <v>15737705.5</v>
          </cell>
          <cell r="N19">
            <v>252025</v>
          </cell>
          <cell r="O19">
            <v>2633847.5</v>
          </cell>
          <cell r="Q19">
            <v>14</v>
          </cell>
          <cell r="R19">
            <v>185083</v>
          </cell>
          <cell r="T19">
            <v>12236343.010000004</v>
          </cell>
        </row>
        <row r="20">
          <cell r="C20">
            <v>131757160.52000003</v>
          </cell>
          <cell r="D20">
            <v>2263864.83</v>
          </cell>
          <cell r="E20">
            <v>120104862.65999998</v>
          </cell>
          <cell r="H20">
            <v>9506698.4199999999</v>
          </cell>
          <cell r="I20">
            <v>1956</v>
          </cell>
          <cell r="L20">
            <v>85</v>
          </cell>
          <cell r="M20">
            <v>16991305.5</v>
          </cell>
          <cell r="N20">
            <v>275820</v>
          </cell>
          <cell r="O20">
            <v>2842006</v>
          </cell>
          <cell r="Q20">
            <v>14</v>
          </cell>
          <cell r="R20">
            <v>174825</v>
          </cell>
          <cell r="T20">
            <v>12523529.42</v>
          </cell>
        </row>
        <row r="21">
          <cell r="C21">
            <v>117789524.82000001</v>
          </cell>
          <cell r="D21">
            <v>1942066.1799999997</v>
          </cell>
          <cell r="E21">
            <v>107489667.13</v>
          </cell>
          <cell r="H21">
            <v>8461631.1399999987</v>
          </cell>
          <cell r="I21">
            <v>1956</v>
          </cell>
          <cell r="L21">
            <v>85</v>
          </cell>
          <cell r="M21">
            <v>17642142</v>
          </cell>
          <cell r="N21">
            <v>272635</v>
          </cell>
          <cell r="O21">
            <v>3322084</v>
          </cell>
          <cell r="Q21">
            <v>14</v>
          </cell>
          <cell r="R21">
            <v>191189</v>
          </cell>
          <cell r="T21">
            <v>11974904.139999999</v>
          </cell>
        </row>
        <row r="22">
          <cell r="C22">
            <v>110787966.75999999</v>
          </cell>
          <cell r="D22">
            <v>1733403.85</v>
          </cell>
          <cell r="E22">
            <v>101217841.49999999</v>
          </cell>
          <cell r="H22">
            <v>7852377.0999999959</v>
          </cell>
          <cell r="I22">
            <v>1956</v>
          </cell>
          <cell r="L22">
            <v>85</v>
          </cell>
          <cell r="M22">
            <v>16823089.059999999</v>
          </cell>
          <cell r="N22">
            <v>329755</v>
          </cell>
          <cell r="O22">
            <v>3102248.81</v>
          </cell>
          <cell r="Q22">
            <v>14</v>
          </cell>
          <cell r="R22">
            <v>225842</v>
          </cell>
          <cell r="T22">
            <v>11180467.909999996</v>
          </cell>
        </row>
        <row r="23">
          <cell r="C23">
            <v>106440499.47000001</v>
          </cell>
          <cell r="D23">
            <v>1581652.2</v>
          </cell>
          <cell r="E23">
            <v>97391626.13000001</v>
          </cell>
          <cell r="H23">
            <v>7570723.4499999983</v>
          </cell>
          <cell r="I23">
            <v>1954.7096774193549</v>
          </cell>
          <cell r="L23">
            <v>85</v>
          </cell>
          <cell r="M23">
            <v>14892933</v>
          </cell>
          <cell r="N23">
            <v>294525</v>
          </cell>
          <cell r="O23">
            <v>2685344.75</v>
          </cell>
          <cell r="Q23">
            <v>14</v>
          </cell>
          <cell r="R23">
            <v>220331</v>
          </cell>
          <cell r="T23">
            <v>10476399.199999999</v>
          </cell>
        </row>
        <row r="24">
          <cell r="C24">
            <v>120647544.28999998</v>
          </cell>
          <cell r="D24">
            <v>1944527.81</v>
          </cell>
          <cell r="E24">
            <v>110226241.91</v>
          </cell>
          <cell r="H24">
            <v>8570850.9600000028</v>
          </cell>
          <cell r="I24">
            <v>1952.25</v>
          </cell>
          <cell r="L24">
            <v>85</v>
          </cell>
          <cell r="M24">
            <v>16689393.25</v>
          </cell>
          <cell r="N24">
            <v>336355</v>
          </cell>
          <cell r="O24">
            <v>2885018.25</v>
          </cell>
          <cell r="Q24">
            <v>14</v>
          </cell>
          <cell r="R24">
            <v>254995.01</v>
          </cell>
          <cell r="T24">
            <v>11710864.220000003</v>
          </cell>
        </row>
        <row r="25">
          <cell r="C25">
            <v>137295230.50999999</v>
          </cell>
          <cell r="D25">
            <v>2484784.6300000004</v>
          </cell>
          <cell r="E25">
            <v>125503739.33999999</v>
          </cell>
          <cell r="H25">
            <v>9385115.1899999995</v>
          </cell>
          <cell r="I25">
            <v>1956.1290322580646</v>
          </cell>
          <cell r="L25">
            <v>85</v>
          </cell>
          <cell r="M25">
            <v>19729138.550000001</v>
          </cell>
          <cell r="N25">
            <v>422965</v>
          </cell>
          <cell r="O25">
            <v>3569688.3</v>
          </cell>
          <cell r="Q25">
            <v>14</v>
          </cell>
          <cell r="R25">
            <v>293727</v>
          </cell>
          <cell r="T25">
            <v>13248530.489999998</v>
          </cell>
        </row>
        <row r="26">
          <cell r="I26">
            <v>1959</v>
          </cell>
          <cell r="L26">
            <v>84</v>
          </cell>
          <cell r="Q26">
            <v>14</v>
          </cell>
        </row>
        <row r="36">
          <cell r="D36">
            <v>9374545.308600001</v>
          </cell>
          <cell r="E36">
            <v>3776864.5314000002</v>
          </cell>
          <cell r="F36">
            <v>0</v>
          </cell>
        </row>
        <row r="37">
          <cell r="D37">
            <v>8998311.2660999987</v>
          </cell>
          <cell r="E37">
            <v>3735152.7438999992</v>
          </cell>
          <cell r="F37">
            <v>0</v>
          </cell>
        </row>
        <row r="38">
          <cell r="D38">
            <v>7756588.931400001</v>
          </cell>
          <cell r="E38">
            <v>3378160.7386000003</v>
          </cell>
          <cell r="F38">
            <v>0</v>
          </cell>
        </row>
        <row r="39">
          <cell r="D39">
            <v>9158348.0106000025</v>
          </cell>
          <cell r="E39">
            <v>4040813.209400001</v>
          </cell>
          <cell r="F39">
            <v>0</v>
          </cell>
        </row>
        <row r="40">
          <cell r="D40">
            <v>8401719.9851999991</v>
          </cell>
          <cell r="E40">
            <v>3613935.8047999996</v>
          </cell>
          <cell r="F40">
            <v>0</v>
          </cell>
        </row>
        <row r="41">
          <cell r="D41">
            <v>8470007.3313000016</v>
          </cell>
          <cell r="E41">
            <v>3766335.678700001</v>
          </cell>
          <cell r="F41">
            <v>0</v>
          </cell>
        </row>
        <row r="42">
          <cell r="D42">
            <v>8704367.9046</v>
          </cell>
          <cell r="E42">
            <v>3819161.5153999999</v>
          </cell>
          <cell r="F42">
            <v>0</v>
          </cell>
        </row>
        <row r="43">
          <cell r="D43">
            <v>8492773.3181999996</v>
          </cell>
          <cell r="E43">
            <v>3482130.8217999991</v>
          </cell>
          <cell r="F43">
            <v>2791.65</v>
          </cell>
        </row>
        <row r="44">
          <cell r="D44">
            <v>7942279.3019999973</v>
          </cell>
          <cell r="E44">
            <v>3238188.6079999981</v>
          </cell>
          <cell r="F44">
            <v>0</v>
          </cell>
        </row>
        <row r="45">
          <cell r="D45">
            <v>7384663.9484999999</v>
          </cell>
          <cell r="E45">
            <v>3091735.2514999993</v>
          </cell>
          <cell r="F45">
            <v>0</v>
          </cell>
        </row>
        <row r="46">
          <cell r="D46">
            <v>8225648.0388000011</v>
          </cell>
          <cell r="E46">
            <v>3485216.1812000009</v>
          </cell>
          <cell r="F46">
            <v>72288.160000000003</v>
          </cell>
        </row>
        <row r="47">
          <cell r="D47">
            <v>9389696.3397000004</v>
          </cell>
          <cell r="E47">
            <v>3858834.1502999999</v>
          </cell>
          <cell r="F47">
            <v>79638.25</v>
          </cell>
        </row>
      </sheetData>
      <sheetData sheetId="9">
        <row r="23">
          <cell r="C23">
            <v>1686074.16</v>
          </cell>
          <cell r="D23">
            <v>120</v>
          </cell>
          <cell r="E23">
            <v>1534396.15</v>
          </cell>
          <cell r="G23">
            <v>151558.01</v>
          </cell>
          <cell r="H23">
            <v>2001</v>
          </cell>
          <cell r="K23">
            <v>77</v>
          </cell>
          <cell r="L23">
            <v>113964</v>
          </cell>
          <cell r="M23">
            <v>0</v>
          </cell>
          <cell r="N23">
            <v>18760</v>
          </cell>
          <cell r="P23">
            <v>12</v>
          </cell>
          <cell r="Q23">
            <v>585</v>
          </cell>
          <cell r="S23">
            <v>170903.01</v>
          </cell>
        </row>
        <row r="24">
          <cell r="C24">
            <v>122784138.68000002</v>
          </cell>
          <cell r="D24">
            <v>360127.29999999993</v>
          </cell>
          <cell r="E24">
            <v>111745432.64999998</v>
          </cell>
          <cell r="G24">
            <v>10678578.73</v>
          </cell>
          <cell r="H24">
            <v>2001</v>
          </cell>
          <cell r="K24">
            <v>77</v>
          </cell>
          <cell r="L24">
            <v>18836244.660000004</v>
          </cell>
          <cell r="M24">
            <v>0</v>
          </cell>
          <cell r="N24">
            <v>2597328.89</v>
          </cell>
          <cell r="P24">
            <v>12</v>
          </cell>
          <cell r="Q24">
            <v>263435</v>
          </cell>
          <cell r="S24">
            <v>13539342.620000001</v>
          </cell>
        </row>
        <row r="25">
          <cell r="C25">
            <v>111192736.36000003</v>
          </cell>
          <cell r="D25">
            <v>1406906.14</v>
          </cell>
          <cell r="E25">
            <v>101473680.40000001</v>
          </cell>
          <cell r="G25">
            <v>8312149.8200000022</v>
          </cell>
          <cell r="H25">
            <v>2001</v>
          </cell>
          <cell r="K25">
            <v>77</v>
          </cell>
          <cell r="L25">
            <v>19828142.93</v>
          </cell>
          <cell r="M25">
            <v>0</v>
          </cell>
          <cell r="N25">
            <v>3859657.92</v>
          </cell>
          <cell r="P25">
            <v>12</v>
          </cell>
          <cell r="Q25">
            <v>266808</v>
          </cell>
          <cell r="S25">
            <v>12438615.740000002</v>
          </cell>
        </row>
        <row r="26">
          <cell r="H26">
            <v>2001</v>
          </cell>
          <cell r="K26">
            <v>77</v>
          </cell>
          <cell r="P26">
            <v>12</v>
          </cell>
        </row>
        <row r="45">
          <cell r="D45">
            <v>112892.0463</v>
          </cell>
          <cell r="E45">
            <v>58010.9637</v>
          </cell>
        </row>
        <row r="46">
          <cell r="D46">
            <v>9302192.1009000018</v>
          </cell>
          <cell r="E46">
            <v>4237150.5191000002</v>
          </cell>
        </row>
        <row r="47">
          <cell r="D47">
            <v>8950473.7146000024</v>
          </cell>
          <cell r="E47">
            <v>3488142.0254000011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aming.ny.gov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gaming.ny.gov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gaming.ny.gov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gaming.ny.gov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gaming.ny.gov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gaming.ny.gov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gaming.ny.gov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gaming.ny.gov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gaming.ny.gov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gaming.ny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4FDD-A387-4E63-9E98-B50422E29875}">
  <sheetPr>
    <pageSetUpPr fitToPage="1"/>
  </sheetPr>
  <dimension ref="A1:AA45"/>
  <sheetViews>
    <sheetView tabSelected="1" zoomScaleNormal="100" workbookViewId="0">
      <selection activeCell="I28" sqref="I28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4.570312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7.28515625" style="28" customWidth="1"/>
    <col min="13" max="13" width="12.7109375" style="28" customWidth="1"/>
    <col min="14" max="14" width="11.570312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4.28515625" style="1" customWidth="1"/>
    <col min="21" max="21" width="12.140625" style="1" customWidth="1"/>
    <col min="22" max="22" width="2" style="1" customWidth="1"/>
    <col min="23" max="23" width="14.28515625" style="1" customWidth="1"/>
    <col min="24" max="24" width="12.85546875" style="1" bestFit="1" customWidth="1"/>
    <col min="25" max="25" width="14" style="1" bestFit="1" customWidth="1"/>
    <col min="26" max="26" width="10" style="1" bestFit="1" customWidth="1"/>
    <col min="27" max="27" width="15.140625" style="1" bestFit="1" customWidth="1"/>
    <col min="28" max="257" width="9.14062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9.14062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9.14062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9.14062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9.14062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9.14062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9.14062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9.14062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9.14062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9.14062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9.14062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9.14062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9.14062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9.14062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9.14062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9.14062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9.14062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9.14062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9.14062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9.14062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9.14062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9.14062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9.14062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9.14062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9.14062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9.14062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9.14062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9.14062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9.14062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9.14062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9.14062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9.14062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9.14062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9.14062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9.14062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9.14062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9.14062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9.14062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9.14062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9.14062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9.14062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9.14062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9.14062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9.14062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9.14062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9.14062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9.14062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9.14062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9.14062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9.14062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9.14062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9.14062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9.14062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9.14062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9.14062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9.14062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9.14062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9.14062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9.14062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9.14062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9.14062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9.14062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9.14062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9.140625" style="1"/>
  </cols>
  <sheetData>
    <row r="1" spans="1:27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7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7" s="8" customFormat="1" ht="14.25" customHeight="1" x14ac:dyDescent="0.25">
      <c r="A9" s="67" t="s">
        <v>66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7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T11" s="74" t="s">
        <v>32</v>
      </c>
      <c r="U11" s="75"/>
      <c r="W11" s="76" t="s">
        <v>50</v>
      </c>
      <c r="X11" s="77"/>
      <c r="Y11" s="77"/>
      <c r="Z11" s="77"/>
      <c r="AA11" s="78"/>
    </row>
    <row r="12" spans="1:27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U12" s="21" t="s">
        <v>33</v>
      </c>
      <c r="W12" s="16" t="s">
        <v>4</v>
      </c>
      <c r="X12" s="36"/>
      <c r="Y12" s="36"/>
      <c r="Z12" s="36"/>
      <c r="AA12" s="36" t="s">
        <v>23</v>
      </c>
    </row>
    <row r="13" spans="1:27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U13" s="21" t="s">
        <v>34</v>
      </c>
      <c r="W13" s="16" t="s">
        <v>4</v>
      </c>
      <c r="X13" s="16" t="s">
        <v>24</v>
      </c>
      <c r="Y13" s="36" t="s">
        <v>4</v>
      </c>
      <c r="Z13" s="36" t="s">
        <v>25</v>
      </c>
      <c r="AA13" s="36" t="s">
        <v>26</v>
      </c>
    </row>
    <row r="14" spans="1:27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35</v>
      </c>
      <c r="U14" s="43" t="s">
        <v>16</v>
      </c>
      <c r="W14" s="23" t="s">
        <v>21</v>
      </c>
      <c r="X14" s="23" t="s">
        <v>27</v>
      </c>
      <c r="Y14" s="37" t="s">
        <v>28</v>
      </c>
      <c r="Z14" s="37" t="s">
        <v>29</v>
      </c>
      <c r="AA14" s="37" t="s">
        <v>30</v>
      </c>
    </row>
    <row r="15" spans="1:27" x14ac:dyDescent="0.25">
      <c r="A15" s="4">
        <v>45748</v>
      </c>
      <c r="C15" s="46">
        <f>+'[1]25-26 Tioga Monthly'!C14+'[2]25-26 Rivers Monthly'!C14+'[3]25-26 RW Catskills Monthly'!C14+'[4]del Lago Monthly FY 25-26'!C14</f>
        <v>523553874.03000009</v>
      </c>
      <c r="D15" s="46">
        <f>+'[1]25-26 Tioga Monthly'!D14+'[2]25-26 Rivers Monthly'!D14+'[3]25-26 RW Catskills Monthly'!D14+'[4]del Lago Monthly FY 25-26'!D14</f>
        <v>6427316.4799999995</v>
      </c>
      <c r="E15" s="46">
        <f>+'[1]25-26 Tioga Monthly'!E14+'[2]25-26 Rivers Monthly'!E14+'[3]25-26 RW Catskills Monthly'!E14+'[4]del Lago Monthly FY 25-26'!E14</f>
        <v>474874956.09000003</v>
      </c>
      <c r="F15" s="46">
        <f>+'[1]25-26 Tioga Monthly'!F14+'[2]25-26 Rivers Monthly'!F14+'[3]25-26 RW Catskills Monthly'!F14+'[4]del Lago Monthly FY 25-26'!F14</f>
        <v>42251601.459999993</v>
      </c>
      <c r="G15" s="46"/>
      <c r="H15" s="47">
        <f>+'[1]25-26 Tioga Monthly'!H14+'[2]25-26 Rivers Monthly'!H14+'[3]25-26 RW Catskills Monthly'!H14+'[4]del Lago Monthly FY 25-26'!H14</f>
        <v>5214</v>
      </c>
      <c r="I15" s="46">
        <f>F15/H15/30</f>
        <v>270.11636274133735</v>
      </c>
      <c r="J15" s="48"/>
      <c r="K15" s="48"/>
      <c r="L15" s="56">
        <f>+'[1]25-26 Tioga Monthly'!L14+'[2]25-26 Rivers Monthly'!L14+'[3]25-26 RW Catskills Monthly'!L14+'[4]del Lago Monthly FY 25-26'!L14</f>
        <v>283</v>
      </c>
      <c r="M15" s="53">
        <f>+'[1]25-26 Tioga Monthly'!M14+'[2]25-26 Rivers Monthly'!M14+'[3]25-26 RW Catskills Monthly'!M14+'[4]del Lago Monthly FY 25-26'!M14</f>
        <v>69957375.109999999</v>
      </c>
      <c r="N15" s="53">
        <f>+'[1]25-26 Tioga Monthly'!N14+'[2]25-26 Rivers Monthly'!N14+'[3]25-26 RW Catskills Monthly'!N14+'[4]del Lago Monthly FY 25-26'!N14</f>
        <v>1335820</v>
      </c>
      <c r="O15" s="53">
        <f>+'[1]25-26 Tioga Monthly'!O14+'[2]25-26 Rivers Monthly'!O14+'[3]25-26 RW Catskills Monthly'!O14+'[4]del Lago Monthly FY 25-26'!O14</f>
        <v>13717081.209999999</v>
      </c>
      <c r="P15" s="53"/>
      <c r="Q15" s="56">
        <f>+'[1]25-26 Tioga Monthly'!Q14+'[2]25-26 Rivers Monthly'!Q14+'[3]25-26 RW Catskills Monthly'!Q14+'[4]del Lago Monthly FY 25-26'!Q14</f>
        <v>54</v>
      </c>
      <c r="R15" s="53">
        <f>+'[1]25-26 Tioga Monthly'!R14+'[2]25-26 Rivers Monthly'!R14+'[3]25-26 RW Catskills Monthly'!R14+'[4]del Lago Monthly FY 25-26'!R14</f>
        <v>878609</v>
      </c>
      <c r="S15" s="49"/>
      <c r="T15" s="53">
        <f>+'[1]25-26 Tioga Monthly'!T14+'[2]25-26 Rivers Monthly'!T14+'[3]25-26 RW Catskills Monthly'!T14+'[4]del Lago Monthly FY 25-26'!T14</f>
        <v>4820608.57</v>
      </c>
      <c r="U15" s="46">
        <f>+'[1]25-26 Tioga Monthly'!U14+'[2]25-26 Rivers Monthly'!U14+'[3]25-26 RW Catskills Monthly'!U14+'[4]del Lago Monthly FY 25-26'!U14</f>
        <v>-88619.81</v>
      </c>
      <c r="V15"/>
      <c r="W15" s="53">
        <f>+'[1]25-26 Tioga Monthly'!W14+'[2]25-26 Rivers Monthly'!W14+'[3]25-26 RW Catskills Monthly'!W14+'[4]del Lago Monthly FY 25-26'!W14</f>
        <v>56758671.859999992</v>
      </c>
      <c r="X15" s="30">
        <f>+'[1]25-26 Tioga Monthly'!C36+'[2]25-26 Rivers Monthly'!C36+'[3]25-26 RW Catskills Monthly'!C36+'[4]del Lago Monthly FY 25-26'!C36</f>
        <v>42632484.381999992</v>
      </c>
      <c r="Y15" s="30">
        <f>+'[1]25-26 Tioga Monthly'!D36+'[2]25-26 Rivers Monthly'!D36+'[3]25-26 RW Catskills Monthly'!D36+'[4]del Lago Monthly FY 25-26'!D36</f>
        <v>14126187.477999996</v>
      </c>
      <c r="Z15" s="30">
        <f>+'[1]25-26 Tioga Monthly'!E36+'[2]25-26 Rivers Monthly'!E36+'[3]25-26 RW Catskills Monthly'!E36+'[4]del Lago Monthly FY 25-26'!E36</f>
        <v>71894.010000000009</v>
      </c>
      <c r="AA15" s="30">
        <f>+'[1]25-26 Tioga Monthly'!F36+'[2]25-26 Rivers Monthly'!F36+'[3]25-26 RW Catskills Monthly'!F36+'[4]del Lago Monthly FY 25-26'!F36</f>
        <v>6035.5800000000008</v>
      </c>
    </row>
    <row r="16" spans="1:27" x14ac:dyDescent="0.25">
      <c r="A16" s="4">
        <v>45778</v>
      </c>
      <c r="C16" s="46">
        <f>+'[1]25-26 Tioga Monthly'!C15+'[2]25-26 Rivers Monthly'!C15+'[3]25-26 RW Catskills Monthly'!C15+'[4]del Lago Monthly FY 25-26'!C15</f>
        <v>576605903.02999997</v>
      </c>
      <c r="D16" s="46">
        <f>+'[1]25-26 Tioga Monthly'!D15+'[2]25-26 Rivers Monthly'!D15+'[3]25-26 RW Catskills Monthly'!D15+'[4]del Lago Monthly FY 25-26'!D15</f>
        <v>7265291.7599999998</v>
      </c>
      <c r="E16" s="46">
        <f>+'[1]25-26 Tioga Monthly'!E15+'[2]25-26 Rivers Monthly'!E15+'[3]25-26 RW Catskills Monthly'!E15+'[4]del Lago Monthly FY 25-26'!E15</f>
        <v>523963446.99000001</v>
      </c>
      <c r="F16" s="46">
        <f>+'[1]25-26 Tioga Monthly'!F15+'[2]25-26 Rivers Monthly'!F15+'[3]25-26 RW Catskills Monthly'!F15+'[4]del Lago Monthly FY 25-26'!F15</f>
        <v>45377164.279999994</v>
      </c>
      <c r="G16" s="46"/>
      <c r="H16" s="47">
        <f>+'[1]25-26 Tioga Monthly'!H15+'[2]25-26 Rivers Monthly'!H15+'[3]25-26 RW Catskills Monthly'!H15+'[4]del Lago Monthly FY 25-26'!H15</f>
        <v>5202.1935483870966</v>
      </c>
      <c r="I16" s="46">
        <f>F16/H16/31</f>
        <v>281.37736116278495</v>
      </c>
      <c r="J16" s="48"/>
      <c r="K16" s="48"/>
      <c r="L16" s="56">
        <f>+'[1]25-26 Tioga Monthly'!L15+'[2]25-26 Rivers Monthly'!L15+'[3]25-26 RW Catskills Monthly'!L15+'[4]del Lago Monthly FY 25-26'!L15</f>
        <v>283</v>
      </c>
      <c r="M16" s="53">
        <f>+'[1]25-26 Tioga Monthly'!M15+'[2]25-26 Rivers Monthly'!M15+'[3]25-26 RW Catskills Monthly'!M15+'[4]del Lago Monthly FY 25-26'!M15</f>
        <v>76223382</v>
      </c>
      <c r="N16" s="53">
        <f>+'[1]25-26 Tioga Monthly'!N15+'[2]25-26 Rivers Monthly'!N15+'[3]25-26 RW Catskills Monthly'!N15+'[4]del Lago Monthly FY 25-26'!N15</f>
        <v>1360115</v>
      </c>
      <c r="O16" s="53">
        <f>+'[1]25-26 Tioga Monthly'!O15+'[2]25-26 Rivers Monthly'!O15+'[3]25-26 RW Catskills Monthly'!O15+'[4]del Lago Monthly FY 25-26'!O15</f>
        <v>16215271.9</v>
      </c>
      <c r="P16" s="53"/>
      <c r="Q16" s="56">
        <f>+'[1]25-26 Tioga Monthly'!Q15+'[2]25-26 Rivers Monthly'!Q15+'[3]25-26 RW Catskills Monthly'!Q15+'[4]del Lago Monthly FY 25-26'!Q15</f>
        <v>54</v>
      </c>
      <c r="R16" s="53">
        <f>+'[1]25-26 Tioga Monthly'!R15+'[2]25-26 Rivers Monthly'!R15+'[3]25-26 RW Catskills Monthly'!R15+'[4]del Lago Monthly FY 25-26'!R15</f>
        <v>974765</v>
      </c>
      <c r="S16" s="49"/>
      <c r="T16" s="53">
        <f>+'[1]25-26 Tioga Monthly'!T15+'[2]25-26 Rivers Monthly'!T15+'[3]25-26 RW Catskills Monthly'!T15+'[4]del Lago Monthly FY 25-26'!T15</f>
        <v>3773563.9600000004</v>
      </c>
      <c r="U16" s="46">
        <f>+'[1]25-26 Tioga Monthly'!U15+'[2]25-26 Rivers Monthly'!U15+'[3]25-26 RW Catskills Monthly'!U15+'[4]del Lago Monthly FY 25-26'!U15</f>
        <v>406159.83</v>
      </c>
      <c r="V16"/>
      <c r="W16" s="53">
        <f>+'[1]25-26 Tioga Monthly'!W15+'[2]25-26 Rivers Monthly'!W15+'[3]25-26 RW Catskills Monthly'!W15+'[4]del Lago Monthly FY 25-26'!W15</f>
        <v>62973361.00999999</v>
      </c>
      <c r="X16" s="30">
        <f>+'[1]25-26 Tioga Monthly'!C37+'[2]25-26 Rivers Monthly'!C37+'[3]25-26 RW Catskills Monthly'!C37+'[4]del Lago Monthly FY 25-26'!C37</f>
        <v>47600592.053000003</v>
      </c>
      <c r="Y16" s="30">
        <f>+'[1]25-26 Tioga Monthly'!D37+'[2]25-26 Rivers Monthly'!D37+'[3]25-26 RW Catskills Monthly'!D37+'[4]del Lago Monthly FY 25-26'!D37</f>
        <v>15372768.957</v>
      </c>
      <c r="Z16" s="30">
        <f>+'[1]25-26 Tioga Monthly'!E37+'[2]25-26 Rivers Monthly'!E37+'[3]25-26 RW Catskills Monthly'!E37+'[4]del Lago Monthly FY 25-26'!E37</f>
        <v>58595.34</v>
      </c>
      <c r="AA16" s="30">
        <f>+'[1]25-26 Tioga Monthly'!F37+'[2]25-26 Rivers Monthly'!F37+'[3]25-26 RW Catskills Monthly'!F37+'[4]del Lago Monthly FY 25-26'!F37</f>
        <v>1201</v>
      </c>
    </row>
    <row r="17" spans="1:27" x14ac:dyDescent="0.25">
      <c r="A17" s="4">
        <v>45809</v>
      </c>
      <c r="C17" s="46">
        <f>+'[1]25-26 Tioga Monthly'!C16+'[2]25-26 Rivers Monthly'!C16+'[3]25-26 RW Catskills Monthly'!C16+'[4]del Lago Monthly FY 25-26'!C16</f>
        <v>526676218.25000006</v>
      </c>
      <c r="D17" s="46">
        <f>+'[1]25-26 Tioga Monthly'!D16+'[2]25-26 Rivers Monthly'!D16+'[3]25-26 RW Catskills Monthly'!D16+'[4]del Lago Monthly FY 25-26'!D16</f>
        <v>6541170.2800000003</v>
      </c>
      <c r="E17" s="46">
        <f>+'[1]25-26 Tioga Monthly'!E16+'[2]25-26 Rivers Monthly'!E16+'[3]25-26 RW Catskills Monthly'!E16+'[4]del Lago Monthly FY 25-26'!E16</f>
        <v>478372005.30000001</v>
      </c>
      <c r="F17" s="46">
        <f>+'[1]25-26 Tioga Monthly'!F16+'[2]25-26 Rivers Monthly'!F16+'[3]25-26 RW Catskills Monthly'!F16+'[4]del Lago Monthly FY 25-26'!F16</f>
        <v>41763042.670000002</v>
      </c>
      <c r="G17" s="46"/>
      <c r="H17" s="47">
        <f>+'[1]25-26 Tioga Monthly'!H16+'[2]25-26 Rivers Monthly'!H16+'[3]25-26 RW Catskills Monthly'!H16+'[4]del Lago Monthly FY 25-26'!H16</f>
        <v>5167.333333333333</v>
      </c>
      <c r="I17" s="46">
        <f>F17/H17/30</f>
        <v>269.40422313249906</v>
      </c>
      <c r="J17" s="48"/>
      <c r="K17" s="48"/>
      <c r="L17" s="56">
        <f>+'[1]25-26 Tioga Monthly'!L16+'[2]25-26 Rivers Monthly'!L16+'[3]25-26 RW Catskills Monthly'!L16+'[4]del Lago Monthly FY 25-26'!L16</f>
        <v>283.13333333333333</v>
      </c>
      <c r="M17" s="53">
        <f>+'[1]25-26 Tioga Monthly'!M16+'[2]25-26 Rivers Monthly'!M16+'[3]25-26 RW Catskills Monthly'!M16+'[4]del Lago Monthly FY 25-26'!M16</f>
        <v>69444103.049999997</v>
      </c>
      <c r="N17" s="53">
        <f>+'[1]25-26 Tioga Monthly'!N16+'[2]25-26 Rivers Monthly'!N16+'[3]25-26 RW Catskills Monthly'!N16+'[4]del Lago Monthly FY 25-26'!N16</f>
        <v>1219335</v>
      </c>
      <c r="O17" s="53">
        <f>+'[1]25-26 Tioga Monthly'!O16+'[2]25-26 Rivers Monthly'!O16+'[3]25-26 RW Catskills Monthly'!O16+'[4]del Lago Monthly FY 25-26'!O16</f>
        <v>11811839.800000001</v>
      </c>
      <c r="P17" s="53"/>
      <c r="Q17" s="56">
        <f>+'[1]25-26 Tioga Monthly'!Q16+'[2]25-26 Rivers Monthly'!Q16+'[3]25-26 RW Catskills Monthly'!Q16+'[4]del Lago Monthly FY 25-26'!Q16</f>
        <v>50.4</v>
      </c>
      <c r="R17" s="53">
        <f>+'[1]25-26 Tioga Monthly'!R16+'[2]25-26 Rivers Monthly'!R16+'[3]25-26 RW Catskills Monthly'!R16+'[4]del Lago Monthly FY 25-26'!R16</f>
        <v>861966</v>
      </c>
      <c r="S17" s="49"/>
      <c r="T17" s="53">
        <f>+'[1]25-26 Tioga Monthly'!T16+'[2]25-26 Rivers Monthly'!T16+'[3]25-26 RW Catskills Monthly'!T16+'[4]del Lago Monthly FY 25-26'!T16</f>
        <v>3768312.4999999995</v>
      </c>
      <c r="U17" s="46">
        <f>+'[1]25-26 Tioga Monthly'!U16+'[2]25-26 Rivers Monthly'!U16+'[3]25-26 RW Catskills Monthly'!U16+'[4]del Lago Monthly FY 25-26'!U16</f>
        <v>677437.43999999994</v>
      </c>
      <c r="V17"/>
      <c r="W17" s="53">
        <f>+'[1]25-26 Tioga Monthly'!W16+'[2]25-26 Rivers Monthly'!W16+'[3]25-26 RW Catskills Monthly'!W16+'[4]del Lago Monthly FY 25-26'!W16</f>
        <v>55114285.909999996</v>
      </c>
      <c r="X17" s="30">
        <f>+'[1]25-26 Tioga Monthly'!C38+'[2]25-26 Rivers Monthly'!C38+'[3]25-26 RW Catskills Monthly'!C38+'[4]del Lago Monthly FY 25-26'!C38</f>
        <v>41250248.784999996</v>
      </c>
      <c r="Y17" s="30">
        <f>+'[1]25-26 Tioga Monthly'!D38+'[2]25-26 Rivers Monthly'!D38+'[3]25-26 RW Catskills Monthly'!D38+'[4]del Lago Monthly FY 25-26'!D38</f>
        <v>13864037.125</v>
      </c>
      <c r="Z17" s="30">
        <f>+'[1]25-26 Tioga Monthly'!E38+'[2]25-26 Rivers Monthly'!E38+'[3]25-26 RW Catskills Monthly'!E38+'[4]del Lago Monthly FY 25-26'!E38</f>
        <v>49036.28</v>
      </c>
      <c r="AA17" s="46">
        <f>+'[1]25-26 Tioga Monthly'!F38+'[2]25-26 Rivers Monthly'!F38+'[3]25-26 RW Catskills Monthly'!F38+'[4]del Lago Monthly FY 25-26'!F38</f>
        <v>943249.75</v>
      </c>
    </row>
    <row r="18" spans="1:27" x14ac:dyDescent="0.25">
      <c r="A18" s="4">
        <v>45839</v>
      </c>
      <c r="C18" s="46">
        <f>+'[1]25-26 Tioga Monthly'!C17+'[2]25-26 Rivers Monthly'!C17+'[3]25-26 RW Catskills Monthly'!C17+'[4]del Lago Monthly FY 25-26'!C17</f>
        <v>555602675.21000004</v>
      </c>
      <c r="D18" s="46">
        <f>+'[1]25-26 Tioga Monthly'!D17+'[2]25-26 Rivers Monthly'!D17+'[3]25-26 RW Catskills Monthly'!D17+'[4]del Lago Monthly FY 25-26'!D17</f>
        <v>6680169.3700000001</v>
      </c>
      <c r="E18" s="46">
        <f>+'[1]25-26 Tioga Monthly'!E17+'[2]25-26 Rivers Monthly'!E17+'[3]25-26 RW Catskills Monthly'!E17+'[4]del Lago Monthly FY 25-26'!E17</f>
        <v>503856045.73999995</v>
      </c>
      <c r="F18" s="46">
        <f>+'[1]25-26 Tioga Monthly'!F17+'[2]25-26 Rivers Monthly'!F17+'[3]25-26 RW Catskills Monthly'!F17+'[4]del Lago Monthly FY 25-26'!F17</f>
        <v>45066460.100000001</v>
      </c>
      <c r="G18" s="46"/>
      <c r="H18" s="47">
        <f>+'[1]25-26 Tioga Monthly'!H17+'[2]25-26 Rivers Monthly'!H17+'[3]25-26 RW Catskills Monthly'!H17+'[4]del Lago Monthly FY 25-26'!H17</f>
        <v>5205.677419354839</v>
      </c>
      <c r="I18" s="46">
        <f>F18/H18/31</f>
        <v>279.26370773844934</v>
      </c>
      <c r="J18" s="48"/>
      <c r="K18" s="48"/>
      <c r="L18" s="56">
        <f>+'[1]25-26 Tioga Monthly'!L17+'[2]25-26 Rivers Monthly'!L17+'[3]25-26 RW Catskills Monthly'!L17+'[4]del Lago Monthly FY 25-26'!L17</f>
        <v>287</v>
      </c>
      <c r="M18" s="53">
        <f>+'[1]25-26 Tioga Monthly'!M17+'[2]25-26 Rivers Monthly'!M17+'[3]25-26 RW Catskills Monthly'!M17+'[4]del Lago Monthly FY 25-26'!M17</f>
        <v>77955154</v>
      </c>
      <c r="N18" s="53">
        <f>+'[1]25-26 Tioga Monthly'!N17+'[2]25-26 Rivers Monthly'!N17+'[3]25-26 RW Catskills Monthly'!N17+'[4]del Lago Monthly FY 25-26'!N17</f>
        <v>1213580</v>
      </c>
      <c r="O18" s="53">
        <f>+'[1]25-26 Tioga Monthly'!O17+'[2]25-26 Rivers Monthly'!O17+'[3]25-26 RW Catskills Monthly'!O17+'[4]del Lago Monthly FY 25-26'!O17</f>
        <v>14306146</v>
      </c>
      <c r="P18" s="53"/>
      <c r="Q18" s="56">
        <f>+'[1]25-26 Tioga Monthly'!Q17+'[2]25-26 Rivers Monthly'!Q17+'[3]25-26 RW Catskills Monthly'!Q17+'[4]del Lago Monthly FY 25-26'!Q17</f>
        <v>50</v>
      </c>
      <c r="R18" s="53">
        <f>+'[1]25-26 Tioga Monthly'!R17+'[2]25-26 Rivers Monthly'!R17+'[3]25-26 RW Catskills Monthly'!R17+'[4]del Lago Monthly FY 25-26'!R17</f>
        <v>930736</v>
      </c>
      <c r="S18" s="49"/>
      <c r="T18" s="53">
        <f>+'[1]25-26 Tioga Monthly'!T17+'[2]25-26 Rivers Monthly'!T17+'[3]25-26 RW Catskills Monthly'!T17+'[4]del Lago Monthly FY 25-26'!T17</f>
        <v>2330081.4200000004</v>
      </c>
      <c r="U18" s="46">
        <f>+'[1]25-26 Tioga Monthly'!U17+'[2]25-26 Rivers Monthly'!U17+'[3]25-26 RW Catskills Monthly'!U17+'[4]del Lago Monthly FY 25-26'!U17</f>
        <v>317238.09999999998</v>
      </c>
      <c r="V18"/>
      <c r="W18" s="53">
        <f>+'[1]25-26 Tioga Monthly'!W17+'[2]25-26 Rivers Monthly'!W17+'[3]25-26 RW Catskills Monthly'!W17+'[4]del Lago Monthly FY 25-26'!W17</f>
        <v>60620580.200000003</v>
      </c>
      <c r="X18" s="30">
        <f>+'[1]25-26 Tioga Monthly'!C39+'[2]25-26 Rivers Monthly'!C39+'[3]25-26 RW Catskills Monthly'!C39+'[4]del Lago Monthly FY 25-26'!C39</f>
        <v>45545230.159999996</v>
      </c>
      <c r="Y18" s="30">
        <f>+'[1]25-26 Tioga Monthly'!D39+'[2]25-26 Rivers Monthly'!D39+'[3]25-26 RW Catskills Monthly'!D39+'[4]del Lago Monthly FY 25-26'!D39</f>
        <v>15075350.040000001</v>
      </c>
      <c r="Z18" s="30">
        <f>+'[1]25-26 Tioga Monthly'!E39+'[2]25-26 Rivers Monthly'!E39+'[3]25-26 RW Catskills Monthly'!E39+'[4]del Lago Monthly FY 25-26'!E39</f>
        <v>83326</v>
      </c>
      <c r="AA18" s="30">
        <f>+'[1]25-26 Tioga Monthly'!F39+'[2]25-26 Rivers Monthly'!F39+'[3]25-26 RW Catskills Monthly'!F39+'[4]del Lago Monthly FY 25-26'!F39</f>
        <v>0</v>
      </c>
    </row>
    <row r="19" spans="1:27" x14ac:dyDescent="0.25">
      <c r="A19" s="4">
        <v>45870</v>
      </c>
      <c r="C19" s="46">
        <f>+'[1]25-26 Tioga Monthly'!C18+'[2]25-26 Rivers Monthly'!C18+'[3]25-26 RW Catskills Monthly'!C18+'[4]del Lago Monthly FY 25-26'!C18</f>
        <v>587725077.04999995</v>
      </c>
      <c r="D19" s="46">
        <f>+'[1]25-26 Tioga Monthly'!D18+'[2]25-26 Rivers Monthly'!D18+'[3]25-26 RW Catskills Monthly'!D18+'[4]del Lago Monthly FY 25-26'!D18</f>
        <v>7125651.1299999999</v>
      </c>
      <c r="E19" s="46">
        <f>+'[1]25-26 Tioga Monthly'!E18+'[2]25-26 Rivers Monthly'!E18+'[3]25-26 RW Catskills Monthly'!E18+'[4]del Lago Monthly FY 25-26'!E18</f>
        <v>533617976.38</v>
      </c>
      <c r="F19" s="46">
        <f>+'[1]25-26 Tioga Monthly'!F18+'[2]25-26 Rivers Monthly'!F18+'[3]25-26 RW Catskills Monthly'!F18+'[4]del Lago Monthly FY 25-26'!F18</f>
        <v>46981449.540000014</v>
      </c>
      <c r="G19" s="46"/>
      <c r="H19" s="47">
        <f>+'[1]25-26 Tioga Monthly'!H18+'[2]25-26 Rivers Monthly'!H18+'[3]25-26 RW Catskills Monthly'!H18+'[4]del Lago Monthly FY 25-26'!H18</f>
        <v>5214</v>
      </c>
      <c r="I19" s="46">
        <f>F19/H19/31</f>
        <v>290.66563680908729</v>
      </c>
      <c r="J19" s="48"/>
      <c r="K19" s="48"/>
      <c r="L19" s="56">
        <f>+'[1]25-26 Tioga Monthly'!L18+'[2]25-26 Rivers Monthly'!L18+'[3]25-26 RW Catskills Monthly'!L18+'[4]del Lago Monthly FY 25-26'!L18</f>
        <v>284.93548387096774</v>
      </c>
      <c r="M19" s="53">
        <f>+'[1]25-26 Tioga Monthly'!M18+'[2]25-26 Rivers Monthly'!M18+'[3]25-26 RW Catskills Monthly'!M18+'[4]del Lago Monthly FY 25-26'!M18</f>
        <v>80601616</v>
      </c>
      <c r="N19" s="53">
        <f>+'[1]25-26 Tioga Monthly'!N18+'[2]25-26 Rivers Monthly'!N18+'[3]25-26 RW Catskills Monthly'!N18+'[4]del Lago Monthly FY 25-26'!N18</f>
        <v>1093815</v>
      </c>
      <c r="O19" s="53">
        <f>+'[1]25-26 Tioga Monthly'!O18+'[2]25-26 Rivers Monthly'!O18+'[3]25-26 RW Catskills Monthly'!O18+'[4]del Lago Monthly FY 25-26'!O18</f>
        <v>16487262.75</v>
      </c>
      <c r="P19" s="53"/>
      <c r="Q19" s="56">
        <f>+'[1]25-26 Tioga Monthly'!Q18+'[2]25-26 Rivers Monthly'!Q18+'[3]25-26 RW Catskills Monthly'!Q18+'[4]del Lago Monthly FY 25-26'!Q18</f>
        <v>51.032258064516128</v>
      </c>
      <c r="R19" s="53">
        <f>+'[1]25-26 Tioga Monthly'!R18+'[2]25-26 Rivers Monthly'!R18+'[3]25-26 RW Catskills Monthly'!R18+'[4]del Lago Monthly FY 25-26'!R18</f>
        <v>960373</v>
      </c>
      <c r="S19" s="49"/>
      <c r="T19" s="53">
        <f>+'[1]25-26 Tioga Monthly'!T18+'[2]25-26 Rivers Monthly'!T18+'[3]25-26 RW Catskills Monthly'!T18+'[4]del Lago Monthly FY 25-26'!T18</f>
        <v>2992855.6100000003</v>
      </c>
      <c r="U19" s="46">
        <f>+'[1]25-26 Tioga Monthly'!U18+'[2]25-26 Rivers Monthly'!U18+'[3]25-26 RW Catskills Monthly'!U18+'[4]del Lago Monthly FY 25-26'!U18</f>
        <v>543123.61999999988</v>
      </c>
      <c r="V19"/>
      <c r="W19" s="53">
        <f>+'[1]25-26 Tioga Monthly'!W18+'[2]25-26 Rivers Monthly'!W18+'[3]25-26 RW Catskills Monthly'!W18+'[4]del Lago Monthly FY 25-26'!W18</f>
        <v>64972208.910000011</v>
      </c>
      <c r="X19" s="30">
        <f>+'[1]25-26 Tioga Monthly'!C40+'[2]25-26 Rivers Monthly'!C40+'[3]25-26 RW Catskills Monthly'!C40+'[4]del Lago Monthly FY 25-26'!C40</f>
        <v>49078698.111000001</v>
      </c>
      <c r="Y19" s="30">
        <f>+'[1]25-26 Tioga Monthly'!D40+'[2]25-26 Rivers Monthly'!D40+'[3]25-26 RW Catskills Monthly'!D40+'[4]del Lago Monthly FY 25-26'!D40</f>
        <v>15893510.799000001</v>
      </c>
      <c r="Z19" s="30">
        <f>+'[1]25-26 Tioga Monthly'!E40+'[2]25-26 Rivers Monthly'!E40+'[3]25-26 RW Catskills Monthly'!E40+'[4]del Lago Monthly FY 25-26'!E40</f>
        <v>58277.63</v>
      </c>
      <c r="AA19" s="30">
        <f>+'[1]25-26 Tioga Monthly'!F40+'[2]25-26 Rivers Monthly'!F40+'[3]25-26 RW Catskills Monthly'!F40+'[4]del Lago Monthly FY 25-26'!F40</f>
        <v>0</v>
      </c>
    </row>
    <row r="20" spans="1:27" x14ac:dyDescent="0.25">
      <c r="A20" s="4">
        <v>45901</v>
      </c>
      <c r="C20" s="46">
        <f>+'[1]25-26 Tioga Monthly'!C19+'[2]25-26 Rivers Monthly'!C19+'[3]25-26 RW Catskills Monthly'!C19+'[4]del Lago Monthly FY 25-26'!C19</f>
        <v>507851801.22000003</v>
      </c>
      <c r="D20" s="46">
        <f>+'[1]25-26 Tioga Monthly'!D19+'[2]25-26 Rivers Monthly'!D19+'[3]25-26 RW Catskills Monthly'!D19+'[4]del Lago Monthly FY 25-26'!D19</f>
        <v>6247204.21</v>
      </c>
      <c r="E20" s="46">
        <f>+'[1]25-26 Tioga Monthly'!E19+'[2]25-26 Rivers Monthly'!E19+'[3]25-26 RW Catskills Monthly'!E19+'[4]del Lago Monthly FY 25-26'!E19</f>
        <v>460930122.46000004</v>
      </c>
      <c r="F20" s="46">
        <f>+'[1]25-26 Tioga Monthly'!F19+'[2]25-26 Rivers Monthly'!F19+'[3]25-26 RW Catskills Monthly'!F19+'[4]del Lago Monthly FY 25-26'!F19</f>
        <v>40674474.549999997</v>
      </c>
      <c r="G20" s="46"/>
      <c r="H20" s="47">
        <f>+'[1]25-26 Tioga Monthly'!H19+'[2]25-26 Rivers Monthly'!H19+'[3]25-26 RW Catskills Monthly'!H19+'[4]del Lago Monthly FY 25-26'!H19</f>
        <v>5214</v>
      </c>
      <c r="I20" s="46">
        <f>F20/H20/30</f>
        <v>260.03372043216979</v>
      </c>
      <c r="J20" s="48"/>
      <c r="K20" s="48"/>
      <c r="L20" s="56">
        <f>+'[1]25-26 Tioga Monthly'!L19+'[2]25-26 Rivers Monthly'!L19+'[3]25-26 RW Catskills Monthly'!L19+'[4]del Lago Monthly FY 25-26'!L19</f>
        <v>283</v>
      </c>
      <c r="M20" s="53">
        <f>+'[1]25-26 Tioga Monthly'!M19+'[2]25-26 Rivers Monthly'!M19+'[3]25-26 RW Catskills Monthly'!M19+'[4]del Lago Monthly FY 25-26'!M19</f>
        <v>68302356</v>
      </c>
      <c r="N20" s="53">
        <f>+'[1]25-26 Tioga Monthly'!N19+'[2]25-26 Rivers Monthly'!N19+'[3]25-26 RW Catskills Monthly'!N19+'[4]del Lago Monthly FY 25-26'!N19</f>
        <v>1041405</v>
      </c>
      <c r="O20" s="53">
        <f>+'[1]25-26 Tioga Monthly'!O19+'[2]25-26 Rivers Monthly'!O19+'[3]25-26 RW Catskills Monthly'!O19+'[4]del Lago Monthly FY 25-26'!O19</f>
        <v>15186146.5</v>
      </c>
      <c r="P20" s="53"/>
      <c r="Q20" s="56">
        <f>+'[1]25-26 Tioga Monthly'!Q19+'[2]25-26 Rivers Monthly'!Q19+'[3]25-26 RW Catskills Monthly'!Q19+'[4]del Lago Monthly FY 25-26'!Q19</f>
        <v>52</v>
      </c>
      <c r="R20" s="53">
        <f>+'[1]25-26 Tioga Monthly'!R19+'[2]25-26 Rivers Monthly'!R19+'[3]25-26 RW Catskills Monthly'!R19+'[4]del Lago Monthly FY 25-26'!R19</f>
        <v>822836</v>
      </c>
      <c r="S20" s="49"/>
      <c r="T20" s="53">
        <f>+'[1]25-26 Tioga Monthly'!T19+'[2]25-26 Rivers Monthly'!T19+'[3]25-26 RW Catskills Monthly'!T19+'[4]del Lago Monthly FY 25-26'!T19</f>
        <v>5655725.96</v>
      </c>
      <c r="U20" s="46">
        <f>+'[1]25-26 Tioga Monthly'!U19+'[2]25-26 Rivers Monthly'!U19+'[3]25-26 RW Catskills Monthly'!U19+'[4]del Lago Monthly FY 25-26'!U19</f>
        <v>926458.78</v>
      </c>
      <c r="V20"/>
      <c r="W20" s="53">
        <f>+'[1]25-26 Tioga Monthly'!W19+'[2]25-26 Rivers Monthly'!W19+'[3]25-26 RW Catskills Monthly'!W19+'[4]del Lago Monthly FY 25-26'!W19</f>
        <v>57609915.829999991</v>
      </c>
      <c r="X20" s="30">
        <f>+'[1]25-26 Tioga Monthly'!C41+'[2]25-26 Rivers Monthly'!C41+'[3]25-26 RW Catskills Monthly'!C41+'[4]del Lago Monthly FY 25-26'!C41</f>
        <v>43714029.336999997</v>
      </c>
      <c r="Y20" s="30">
        <f>+'[1]25-26 Tioga Monthly'!D41+'[2]25-26 Rivers Monthly'!D41+'[3]25-26 RW Catskills Monthly'!D41+'[4]del Lago Monthly FY 25-26'!D41</f>
        <v>13895886.492999999</v>
      </c>
      <c r="Z20" s="30">
        <f>+'[1]25-26 Tioga Monthly'!E41+'[2]25-26 Rivers Monthly'!E41+'[3]25-26 RW Catskills Monthly'!E41+'[4]del Lago Monthly FY 25-26'!E41</f>
        <v>56740.759999999995</v>
      </c>
      <c r="AA20" s="30">
        <f>+'[1]25-26 Tioga Monthly'!F41+'[2]25-26 Rivers Monthly'!F41+'[3]25-26 RW Catskills Monthly'!F41+'[4]del Lago Monthly FY 25-26'!F41</f>
        <v>0</v>
      </c>
    </row>
    <row r="21" spans="1:27" x14ac:dyDescent="0.25">
      <c r="A21" s="4">
        <v>45931</v>
      </c>
      <c r="C21" s="46">
        <f>+'[1]25-26 Tioga Monthly'!C20+'[2]25-26 Rivers Monthly'!C20+'[3]25-26 RW Catskills Monthly'!C20+'[4]del Lago Monthly FY 25-26'!C20</f>
        <v>543051639.25999999</v>
      </c>
      <c r="D21" s="46">
        <f>+'[1]25-26 Tioga Monthly'!D20+'[2]25-26 Rivers Monthly'!D20+'[3]25-26 RW Catskills Monthly'!D20+'[4]del Lago Monthly FY 25-26'!D20</f>
        <v>6856801.8100000005</v>
      </c>
      <c r="E21" s="46">
        <f>+'[1]25-26 Tioga Monthly'!E20+'[2]25-26 Rivers Monthly'!E20+'[3]25-26 RW Catskills Monthly'!E20+'[4]del Lago Monthly FY 25-26'!E20</f>
        <v>493136663.22000003</v>
      </c>
      <c r="F21" s="46">
        <f>+'[1]25-26 Tioga Monthly'!F20+'[2]25-26 Rivers Monthly'!F20+'[3]25-26 RW Catskills Monthly'!F20+'[4]del Lago Monthly FY 25-26'!F20</f>
        <v>43058174.230000004</v>
      </c>
      <c r="G21" s="46"/>
      <c r="H21" s="47">
        <f>+'[1]25-26 Tioga Monthly'!H20+'[2]25-26 Rivers Monthly'!H20+'[3]25-26 RW Catskills Monthly'!H20+'[4]del Lago Monthly FY 25-26'!H20</f>
        <v>5213.4838709677424</v>
      </c>
      <c r="I21" s="46">
        <f>F21/H21/31</f>
        <v>266.41942252719372</v>
      </c>
      <c r="J21" s="48"/>
      <c r="K21" s="48"/>
      <c r="L21" s="56">
        <f>+'[1]25-26 Tioga Monthly'!L20+'[2]25-26 Rivers Monthly'!L20+'[3]25-26 RW Catskills Monthly'!L20+'[4]del Lago Monthly FY 25-26'!L20</f>
        <v>283</v>
      </c>
      <c r="M21" s="53">
        <f>+'[1]25-26 Tioga Monthly'!M20+'[2]25-26 Rivers Monthly'!M20+'[3]25-26 RW Catskills Monthly'!M20+'[4]del Lago Monthly FY 25-26'!M20</f>
        <v>69516345</v>
      </c>
      <c r="N21" s="53">
        <f>+'[1]25-26 Tioga Monthly'!N20+'[2]25-26 Rivers Monthly'!N20+'[3]25-26 RW Catskills Monthly'!N20+'[4]del Lago Monthly FY 25-26'!N20</f>
        <v>1120720</v>
      </c>
      <c r="O21" s="53">
        <f>+'[1]25-26 Tioga Monthly'!O20+'[2]25-26 Rivers Monthly'!O20+'[3]25-26 RW Catskills Monthly'!O20+'[4]del Lago Monthly FY 25-26'!O20</f>
        <v>11671700.5</v>
      </c>
      <c r="P21" s="53"/>
      <c r="Q21" s="56">
        <f>+'[1]25-26 Tioga Monthly'!Q20+'[2]25-26 Rivers Monthly'!Q20+'[3]25-26 RW Catskills Monthly'!Q20+'[4]del Lago Monthly FY 25-26'!Q20</f>
        <v>52</v>
      </c>
      <c r="R21" s="53">
        <f>+'[1]25-26 Tioga Monthly'!R20+'[2]25-26 Rivers Monthly'!R20+'[3]25-26 RW Catskills Monthly'!R20+'[4]del Lago Monthly FY 25-26'!R20</f>
        <v>831340</v>
      </c>
      <c r="S21" s="49"/>
      <c r="T21" s="53">
        <f>+'[1]25-26 Tioga Monthly'!T20+'[2]25-26 Rivers Monthly'!T20+'[3]25-26 RW Catskills Monthly'!T20+'[4]del Lago Monthly FY 25-26'!T20</f>
        <v>4785338.76</v>
      </c>
      <c r="U21" s="46">
        <f>+'[1]25-26 Tioga Monthly'!U20+'[2]25-26 Rivers Monthly'!U20+'[3]25-26 RW Catskills Monthly'!U20+'[4]del Lago Monthly FY 25-26'!U20</f>
        <v>438555.81999999983</v>
      </c>
      <c r="V21"/>
      <c r="W21" s="53">
        <f>+'[1]25-26 Tioga Monthly'!W20+'[2]25-26 Rivers Monthly'!W20+'[3]25-26 RW Catskills Monthly'!W20+'[4]del Lago Monthly FY 25-26'!W20</f>
        <v>55999770.550000004</v>
      </c>
      <c r="X21" s="30">
        <f>+'[1]25-26 Tioga Monthly'!C42+'[2]25-26 Rivers Monthly'!C42+'[3]25-26 RW Catskills Monthly'!C42+'[4]del Lago Monthly FY 25-26'!C42</f>
        <v>41788158.649000004</v>
      </c>
      <c r="Y21" s="30">
        <f>+'[1]25-26 Tioga Monthly'!D42+'[2]25-26 Rivers Monthly'!D42+'[3]25-26 RW Catskills Monthly'!D42+'[4]del Lago Monthly FY 25-26'!D42</f>
        <v>14211611.901000001</v>
      </c>
      <c r="Z21" s="30">
        <f>+'[1]25-26 Tioga Monthly'!E42+'[2]25-26 Rivers Monthly'!E42+'[3]25-26 RW Catskills Monthly'!E42+'[4]del Lago Monthly FY 25-26'!E42</f>
        <v>88921.799999999988</v>
      </c>
      <c r="AA21" s="30">
        <f>+'[1]25-26 Tioga Monthly'!F42+'[2]25-26 Rivers Monthly'!F42+'[3]25-26 RW Catskills Monthly'!F42+'[4]del Lago Monthly FY 25-26'!F42</f>
        <v>30000</v>
      </c>
    </row>
    <row r="22" spans="1:27" x14ac:dyDescent="0.25">
      <c r="A22" s="4">
        <v>45962</v>
      </c>
      <c r="C22" s="46">
        <f>+'[1]25-26 Tioga Monthly'!C21+'[2]25-26 Rivers Monthly'!C21+'[3]25-26 RW Catskills Monthly'!C21+'[4]del Lago Monthly FY 25-26'!C21</f>
        <v>521995241.82999992</v>
      </c>
      <c r="D22" s="46">
        <f>+'[1]25-26 Tioga Monthly'!D21+'[2]25-26 Rivers Monthly'!D21+'[3]25-26 RW Catskills Monthly'!D21+'[4]del Lago Monthly FY 25-26'!D21</f>
        <v>6506928.0200000005</v>
      </c>
      <c r="E22" s="46">
        <f>+'[1]25-26 Tioga Monthly'!E21+'[2]25-26 Rivers Monthly'!E21+'[3]25-26 RW Catskills Monthly'!E21+'[4]del Lago Monthly FY 25-26'!E21</f>
        <v>473322477.99000001</v>
      </c>
      <c r="F22" s="46">
        <f>+'[1]25-26 Tioga Monthly'!F21+'[2]25-26 Rivers Monthly'!F21+'[3]25-26 RW Catskills Monthly'!F21+'[4]del Lago Monthly FY 25-26'!F21</f>
        <v>42165835.819999993</v>
      </c>
      <c r="G22" s="46"/>
      <c r="H22" s="47">
        <f>+'[1]25-26 Tioga Monthly'!H21+'[2]25-26 Rivers Monthly'!H21+'[3]25-26 RW Catskills Monthly'!H21+'[4]del Lago Monthly FY 25-26'!H21</f>
        <v>5213</v>
      </c>
      <c r="I22" s="46">
        <f>F22/H22/30</f>
        <v>269.61976993413896</v>
      </c>
      <c r="J22" s="48"/>
      <c r="K22" s="48"/>
      <c r="L22" s="56">
        <f>+'[1]25-26 Tioga Monthly'!L21+'[2]25-26 Rivers Monthly'!L21+'[3]25-26 RW Catskills Monthly'!L21+'[4]del Lago Monthly FY 25-26'!L21</f>
        <v>276.06666666666666</v>
      </c>
      <c r="M22" s="53">
        <f>+'[1]25-26 Tioga Monthly'!M21+'[2]25-26 Rivers Monthly'!M21+'[3]25-26 RW Catskills Monthly'!M21+'[4]del Lago Monthly FY 25-26'!M21</f>
        <v>75413348</v>
      </c>
      <c r="N22" s="53">
        <f>+'[1]25-26 Tioga Monthly'!N21+'[2]25-26 Rivers Monthly'!N21+'[3]25-26 RW Catskills Monthly'!N21+'[4]del Lago Monthly FY 25-26'!N21</f>
        <v>1083645</v>
      </c>
      <c r="O22" s="53">
        <f>+'[1]25-26 Tioga Monthly'!O21+'[2]25-26 Rivers Monthly'!O21+'[3]25-26 RW Catskills Monthly'!O21+'[4]del Lago Monthly FY 25-26'!O21</f>
        <v>14528803</v>
      </c>
      <c r="P22" s="53"/>
      <c r="Q22" s="56">
        <f>+'[1]25-26 Tioga Monthly'!Q21+'[2]25-26 Rivers Monthly'!Q21+'[3]25-26 RW Catskills Monthly'!Q21+'[4]del Lago Monthly FY 25-26'!Q21</f>
        <v>52</v>
      </c>
      <c r="R22" s="53">
        <f>+'[1]25-26 Tioga Monthly'!R21+'[2]25-26 Rivers Monthly'!R21+'[3]25-26 RW Catskills Monthly'!R21+'[4]del Lago Monthly FY 25-26'!R21</f>
        <v>870660</v>
      </c>
      <c r="S22" s="49"/>
      <c r="T22" s="53">
        <f>+'[1]25-26 Tioga Monthly'!T21+'[2]25-26 Rivers Monthly'!T21+'[3]25-26 RW Catskills Monthly'!T21+'[4]del Lago Monthly FY 25-26'!T21</f>
        <v>5052488.34</v>
      </c>
      <c r="U22" s="46">
        <f>+'[1]25-26 Tioga Monthly'!U21+'[2]25-26 Rivers Monthly'!U21+'[3]25-26 RW Catskills Monthly'!U21+'[4]del Lago Monthly FY 25-26'!U21</f>
        <v>728154.20000000007</v>
      </c>
      <c r="V22"/>
      <c r="W22" s="53">
        <f>+'[1]25-26 Tioga Monthly'!W21+'[2]25-26 Rivers Monthly'!W21+'[3]25-26 RW Catskills Monthly'!W21+'[4]del Lago Monthly FY 25-26'!W21</f>
        <v>58293453.019999988</v>
      </c>
      <c r="X22" s="30">
        <f>+'[1]25-26 Tioga Monthly'!C43+'[2]25-26 Rivers Monthly'!C43+'[3]25-26 RW Catskills Monthly'!C43+'[4]del Lago Monthly FY 25-26'!C43</f>
        <v>44030940.553999998</v>
      </c>
      <c r="Y22" s="30">
        <f>+'[1]25-26 Tioga Monthly'!D43+'[2]25-26 Rivers Monthly'!D43+'[3]25-26 RW Catskills Monthly'!D43+'[4]del Lago Monthly FY 25-26'!D43</f>
        <v>14262512.465999998</v>
      </c>
      <c r="Z22" s="30">
        <f>+'[1]25-26 Tioga Monthly'!E43+'[2]25-26 Rivers Monthly'!E43+'[3]25-26 RW Catskills Monthly'!E43+'[4]del Lago Monthly FY 25-26'!E43</f>
        <v>69456.28</v>
      </c>
      <c r="AA22" s="30">
        <f>+'[1]25-26 Tioga Monthly'!F43+'[2]25-26 Rivers Monthly'!F43+'[3]25-26 RW Catskills Monthly'!F43+'[4]del Lago Monthly FY 25-26'!F43</f>
        <v>7006</v>
      </c>
    </row>
    <row r="23" spans="1:27" x14ac:dyDescent="0.25">
      <c r="A23" s="4">
        <v>45992</v>
      </c>
      <c r="C23" s="46">
        <f>+'[1]25-26 Tioga Monthly'!C22+'[2]25-26 Rivers Monthly'!C22+'[3]25-26 RW Catskills Monthly'!C22+'[4]del Lago Monthly FY 25-26'!C22</f>
        <v>481199255.91000003</v>
      </c>
      <c r="D23" s="46">
        <f>+'[1]25-26 Tioga Monthly'!D22+'[2]25-26 Rivers Monthly'!D22+'[3]25-26 RW Catskills Monthly'!D22+'[4]del Lago Monthly FY 25-26'!D22</f>
        <v>6146991.8200000003</v>
      </c>
      <c r="E23" s="46">
        <f>+'[1]25-26 Tioga Monthly'!E22+'[2]25-26 Rivers Monthly'!E22+'[3]25-26 RW Catskills Monthly'!E22+'[4]del Lago Monthly FY 25-26'!E22</f>
        <v>436484969.24000001</v>
      </c>
      <c r="F23" s="46">
        <f>+'[1]25-26 Tioga Monthly'!F22+'[2]25-26 Rivers Monthly'!F22+'[3]25-26 RW Catskills Monthly'!F22+'[4]del Lago Monthly FY 25-26'!F22</f>
        <v>38567294.849999994</v>
      </c>
      <c r="G23" s="46"/>
      <c r="H23" s="47">
        <f>+'[1]25-26 Tioga Monthly'!H22+'[2]25-26 Rivers Monthly'!H22+'[3]25-26 RW Catskills Monthly'!H22+'[4]del Lago Monthly FY 25-26'!H22</f>
        <v>5213</v>
      </c>
      <c r="I23" s="46">
        <f>F23/H23/31</f>
        <v>238.65457231610796</v>
      </c>
      <c r="J23" s="48"/>
      <c r="K23" s="48"/>
      <c r="L23" s="56">
        <f>+'[1]25-26 Tioga Monthly'!L22+'[2]25-26 Rivers Monthly'!L22+'[3]25-26 RW Catskills Monthly'!L22+'[4]del Lago Monthly FY 25-26'!L22</f>
        <v>275</v>
      </c>
      <c r="M23" s="53">
        <f>+'[1]25-26 Tioga Monthly'!M22+'[2]25-26 Rivers Monthly'!M22+'[3]25-26 RW Catskills Monthly'!M22+'[4]del Lago Monthly FY 25-26'!M22</f>
        <v>69944610</v>
      </c>
      <c r="N23" s="53">
        <f>+'[1]25-26 Tioga Monthly'!N22+'[2]25-26 Rivers Monthly'!N22+'[3]25-26 RW Catskills Monthly'!N22+'[4]del Lago Monthly FY 25-26'!N22</f>
        <v>1262150</v>
      </c>
      <c r="O23" s="53">
        <f>+'[1]25-26 Tioga Monthly'!O22+'[2]25-26 Rivers Monthly'!O22+'[3]25-26 RW Catskills Monthly'!O22+'[4]del Lago Monthly FY 25-26'!O22</f>
        <v>13306730.550000001</v>
      </c>
      <c r="P23" s="53"/>
      <c r="Q23" s="56">
        <f>+'[1]25-26 Tioga Monthly'!Q22+'[2]25-26 Rivers Monthly'!Q22+'[3]25-26 RW Catskills Monthly'!Q22+'[4]del Lago Monthly FY 25-26'!Q22</f>
        <v>52</v>
      </c>
      <c r="R23" s="53">
        <f>+'[1]25-26 Tioga Monthly'!R22+'[2]25-26 Rivers Monthly'!R22+'[3]25-26 RW Catskills Monthly'!R22+'[4]del Lago Monthly FY 25-26'!R22</f>
        <v>766775</v>
      </c>
      <c r="S23" s="49"/>
      <c r="T23" s="53">
        <f>+'[1]25-26 Tioga Monthly'!T22+'[2]25-26 Rivers Monthly'!T22+'[3]25-26 RW Catskills Monthly'!T22+'[4]del Lago Monthly FY 25-26'!T22</f>
        <v>4241306.8699999992</v>
      </c>
      <c r="U23" s="46">
        <f>+'[1]25-26 Tioga Monthly'!U22+'[2]25-26 Rivers Monthly'!U22+'[3]25-26 RW Catskills Monthly'!U22+'[4]del Lago Monthly FY 25-26'!U22</f>
        <v>681233.4</v>
      </c>
      <c r="V23"/>
      <c r="W23" s="53">
        <f>+'[1]25-26 Tioga Monthly'!W22+'[2]25-26 Rivers Monthly'!W22+'[3]25-26 RW Catskills Monthly'!W22+'[4]del Lago Monthly FY 25-26'!W22</f>
        <v>53322033.799999997</v>
      </c>
      <c r="X23" s="30">
        <f>+'[1]25-26 Tioga Monthly'!C44+'[2]25-26 Rivers Monthly'!C44+'[3]25-26 RW Catskills Monthly'!C44+'[4]del Lago Monthly FY 25-26'!C44</f>
        <v>40276371.449999996</v>
      </c>
      <c r="Y23" s="30">
        <f>+'[1]25-26 Tioga Monthly'!D44+'[2]25-26 Rivers Monthly'!D44+'[3]25-26 RW Catskills Monthly'!D44+'[4]del Lago Monthly FY 25-26'!D44</f>
        <v>13045662.349999998</v>
      </c>
      <c r="Z23" s="30">
        <f>+'[1]25-26 Tioga Monthly'!E44+'[2]25-26 Rivers Monthly'!E44+'[3]25-26 RW Catskills Monthly'!E44+'[4]del Lago Monthly FY 25-26'!E44</f>
        <v>96196.99</v>
      </c>
      <c r="AA23" s="30">
        <f>+'[1]25-26 Tioga Monthly'!F44+'[2]25-26 Rivers Monthly'!F44+'[3]25-26 RW Catskills Monthly'!F44+'[4]del Lago Monthly FY 25-26'!F44</f>
        <v>31000</v>
      </c>
    </row>
    <row r="24" spans="1:27" x14ac:dyDescent="0.25">
      <c r="A24" s="4">
        <v>46023</v>
      </c>
      <c r="C24" s="46">
        <f>+'[1]25-26 Tioga Monthly'!C23+'[2]25-26 Rivers Monthly'!C23+'[3]25-26 RW Catskills Monthly'!C23+'[4]del Lago Monthly FY 25-26'!C23</f>
        <v>500487408.5999999</v>
      </c>
      <c r="D24" s="46">
        <f>+'[1]25-26 Tioga Monthly'!D23+'[2]25-26 Rivers Monthly'!D23+'[3]25-26 RW Catskills Monthly'!D23+'[4]del Lago Monthly FY 25-26'!D23</f>
        <v>6123151.71</v>
      </c>
      <c r="E24" s="46">
        <f>+'[1]25-26 Tioga Monthly'!E23+'[2]25-26 Rivers Monthly'!E23+'[3]25-26 RW Catskills Monthly'!E23+'[4]del Lago Monthly FY 25-26'!E23</f>
        <v>451604560.48000002</v>
      </c>
      <c r="F24" s="46">
        <f>+'[1]25-26 Tioga Monthly'!F23+'[2]25-26 Rivers Monthly'!F23+'[3]25-26 RW Catskills Monthly'!F23+'[4]del Lago Monthly FY 25-26'!F23</f>
        <v>42759696.409999996</v>
      </c>
      <c r="G24" s="46"/>
      <c r="H24" s="47">
        <f>+'[1]25-26 Tioga Monthly'!H23+'[2]25-26 Rivers Monthly'!H23+'[3]25-26 RW Catskills Monthly'!H23+'[4]del Lago Monthly FY 25-26'!H23</f>
        <v>5213</v>
      </c>
      <c r="I24" s="46">
        <f>F24/H24/31</f>
        <v>264.59716966887987</v>
      </c>
      <c r="J24" s="48"/>
      <c r="K24" s="48"/>
      <c r="L24" s="56">
        <f>+'[1]25-26 Tioga Monthly'!L23+'[2]25-26 Rivers Monthly'!L23+'[3]25-26 RW Catskills Monthly'!L23+'[4]del Lago Monthly FY 25-26'!L23</f>
        <v>275</v>
      </c>
      <c r="M24" s="53">
        <f>+'[1]25-26 Tioga Monthly'!M23+'[2]25-26 Rivers Monthly'!M23+'[3]25-26 RW Catskills Monthly'!M23+'[4]del Lago Monthly FY 25-26'!M23</f>
        <v>70862897</v>
      </c>
      <c r="N24" s="53">
        <f>+'[1]25-26 Tioga Monthly'!N23+'[2]25-26 Rivers Monthly'!N23+'[3]25-26 RW Catskills Monthly'!N23+'[4]del Lago Monthly FY 25-26'!N23</f>
        <v>1136055</v>
      </c>
      <c r="O24" s="53">
        <f>+'[1]25-26 Tioga Monthly'!O23+'[2]25-26 Rivers Monthly'!O23+'[3]25-26 RW Catskills Monthly'!O23+'[4]del Lago Monthly FY 25-26'!O23</f>
        <v>14593188.800000001</v>
      </c>
      <c r="P24" s="53"/>
      <c r="Q24" s="56">
        <f>+'[1]25-26 Tioga Monthly'!Q23+'[2]25-26 Rivers Monthly'!Q23+'[3]25-26 RW Catskills Monthly'!Q23+'[4]del Lago Monthly FY 25-26'!Q23</f>
        <v>52</v>
      </c>
      <c r="R24" s="53">
        <f>+'[1]25-26 Tioga Monthly'!R23+'[2]25-26 Rivers Monthly'!R23+'[3]25-26 RW Catskills Monthly'!R23+'[4]del Lago Monthly FY 25-26'!R23</f>
        <v>868706</v>
      </c>
      <c r="S24" s="49"/>
      <c r="T24" s="53">
        <f>+'[1]25-26 Tioga Monthly'!T23+'[2]25-26 Rivers Monthly'!T23+'[3]25-26 RW Catskills Monthly'!T23+'[4]del Lago Monthly FY 25-26'!T23</f>
        <v>4626981.53</v>
      </c>
      <c r="U24" s="46">
        <f>+'[1]25-26 Tioga Monthly'!U23+'[2]25-26 Rivers Monthly'!U23+'[3]25-26 RW Catskills Monthly'!U23+'[4]del Lago Monthly FY 25-26'!U23</f>
        <v>521050.85</v>
      </c>
      <c r="V24"/>
      <c r="W24" s="53">
        <f>+'[1]25-26 Tioga Monthly'!W23+'[2]25-26 Rivers Monthly'!W23+'[3]25-26 RW Catskills Monthly'!W23+'[4]del Lago Monthly FY 25-26'!W23</f>
        <v>58742642.060000002</v>
      </c>
      <c r="X24" s="30">
        <f>+'[1]25-26 Tioga Monthly'!C45+'[2]25-26 Rivers Monthly'!C45+'[3]25-26 RW Catskills Monthly'!C45+'[4]del Lago Monthly FY 25-26'!C45</f>
        <v>44316438.572000004</v>
      </c>
      <c r="Y24" s="30">
        <f>+'[1]25-26 Tioga Monthly'!D45+'[2]25-26 Rivers Monthly'!D45+'[3]25-26 RW Catskills Monthly'!D45+'[4]del Lago Monthly FY 25-26'!D45</f>
        <v>14426203.488</v>
      </c>
      <c r="Z24" s="30">
        <f>+'[1]25-26 Tioga Monthly'!E45+'[2]25-26 Rivers Monthly'!E45+'[3]25-26 RW Catskills Monthly'!E45+'[4]del Lago Monthly FY 25-26'!E45</f>
        <v>66644.789999999994</v>
      </c>
      <c r="AA24" s="30">
        <f>+'[1]25-26 Tioga Monthly'!F45+'[2]25-26 Rivers Monthly'!F45+'[3]25-26 RW Catskills Monthly'!F45+'[4]del Lago Monthly FY 25-26'!F45</f>
        <v>29493.37</v>
      </c>
    </row>
    <row r="25" spans="1:27" x14ac:dyDescent="0.25">
      <c r="A25" s="4">
        <v>46054</v>
      </c>
      <c r="C25" s="46">
        <f>+'[1]25-26 Tioga Monthly'!C24+'[2]25-26 Rivers Monthly'!C24+'[3]25-26 RW Catskills Monthly'!C24+'[4]del Lago Monthly FY 25-26'!C24</f>
        <v>0</v>
      </c>
      <c r="D25" s="46">
        <f>+'[1]25-26 Tioga Monthly'!D24+'[2]25-26 Rivers Monthly'!D24+'[3]25-26 RW Catskills Monthly'!D24+'[4]del Lago Monthly FY 25-26'!D24</f>
        <v>0</v>
      </c>
      <c r="E25" s="46">
        <f>+'[1]25-26 Tioga Monthly'!E24+'[2]25-26 Rivers Monthly'!E24+'[3]25-26 RW Catskills Monthly'!E24+'[4]del Lago Monthly FY 25-26'!E24</f>
        <v>0</v>
      </c>
      <c r="F25" s="46">
        <f>+'[1]25-26 Tioga Monthly'!F24+'[2]25-26 Rivers Monthly'!F24+'[3]25-26 RW Catskills Monthly'!F24+'[4]del Lago Monthly FY 25-26'!F24</f>
        <v>0</v>
      </c>
      <c r="G25" s="46"/>
      <c r="H25" s="47">
        <f>+'[1]25-26 Tioga Monthly'!H24+'[2]25-26 Rivers Monthly'!H24+'[3]25-26 RW Catskills Monthly'!H24+'[4]del Lago Monthly FY 25-26'!H24</f>
        <v>0</v>
      </c>
      <c r="I25" s="46"/>
      <c r="J25" s="48"/>
      <c r="K25" s="48"/>
      <c r="L25" s="56">
        <f>+'[1]25-26 Tioga Monthly'!L24+'[2]25-26 Rivers Monthly'!L24+'[3]25-26 RW Catskills Monthly'!L24+'[4]del Lago Monthly FY 25-26'!L24</f>
        <v>0</v>
      </c>
      <c r="M25" s="53">
        <f>+'[1]25-26 Tioga Monthly'!M24+'[2]25-26 Rivers Monthly'!M24+'[3]25-26 RW Catskills Monthly'!M24+'[4]del Lago Monthly FY 25-26'!M24</f>
        <v>0</v>
      </c>
      <c r="N25" s="53">
        <f>+'[1]25-26 Tioga Monthly'!N24+'[2]25-26 Rivers Monthly'!N24+'[3]25-26 RW Catskills Monthly'!N24+'[4]del Lago Monthly FY 25-26'!N24</f>
        <v>0</v>
      </c>
      <c r="O25" s="53">
        <f>+'[1]25-26 Tioga Monthly'!O24+'[2]25-26 Rivers Monthly'!O24+'[3]25-26 RW Catskills Monthly'!O24+'[4]del Lago Monthly FY 25-26'!O24</f>
        <v>0</v>
      </c>
      <c r="P25" s="53"/>
      <c r="Q25" s="56">
        <f>+'[1]25-26 Tioga Monthly'!Q24+'[2]25-26 Rivers Monthly'!Q24+'[3]25-26 RW Catskills Monthly'!Q24+'[4]del Lago Monthly FY 25-26'!Q24</f>
        <v>0</v>
      </c>
      <c r="R25" s="53">
        <f>+'[1]25-26 Tioga Monthly'!R24+'[2]25-26 Rivers Monthly'!R24+'[3]25-26 RW Catskills Monthly'!R24+'[4]del Lago Monthly FY 25-26'!R24</f>
        <v>0</v>
      </c>
      <c r="S25" s="49"/>
      <c r="T25" s="53">
        <f>+'[1]25-26 Tioga Monthly'!T24+'[2]25-26 Rivers Monthly'!T24+'[3]25-26 RW Catskills Monthly'!T24+'[4]del Lago Monthly FY 25-26'!T24</f>
        <v>0</v>
      </c>
      <c r="U25" s="46">
        <f>+'[1]25-26 Tioga Monthly'!U24+'[2]25-26 Rivers Monthly'!U24+'[3]25-26 RW Catskills Monthly'!U24+'[4]del Lago Monthly FY 25-26'!U24</f>
        <v>0</v>
      </c>
      <c r="V25"/>
      <c r="W25" s="53">
        <f>+'[1]25-26 Tioga Monthly'!W24+'[2]25-26 Rivers Monthly'!W24+'[3]25-26 RW Catskills Monthly'!W24+'[4]del Lago Monthly FY 25-26'!W24</f>
        <v>0</v>
      </c>
      <c r="X25" s="30"/>
      <c r="Y25" s="30"/>
      <c r="Z25" s="30"/>
      <c r="AA25" s="30"/>
    </row>
    <row r="26" spans="1:27" x14ac:dyDescent="0.25">
      <c r="A26" s="4">
        <v>46082</v>
      </c>
      <c r="C26" s="46">
        <f>+'[1]25-26 Tioga Monthly'!C25+'[2]25-26 Rivers Monthly'!C25+'[3]25-26 RW Catskills Monthly'!C25+'[4]del Lago Monthly FY 25-26'!C25</f>
        <v>0</v>
      </c>
      <c r="D26" s="46">
        <f>+'[1]25-26 Tioga Monthly'!D25+'[2]25-26 Rivers Monthly'!D25+'[3]25-26 RW Catskills Monthly'!D25+'[4]del Lago Monthly FY 25-26'!D25</f>
        <v>0</v>
      </c>
      <c r="E26" s="46">
        <f>+'[1]25-26 Tioga Monthly'!E25+'[2]25-26 Rivers Monthly'!E25+'[3]25-26 RW Catskills Monthly'!E25+'[4]del Lago Monthly FY 25-26'!E25</f>
        <v>0</v>
      </c>
      <c r="F26" s="46">
        <f>+'[1]25-26 Tioga Monthly'!F25+'[2]25-26 Rivers Monthly'!F25+'[3]25-26 RW Catskills Monthly'!F25+'[4]del Lago Monthly FY 25-26'!F25</f>
        <v>0</v>
      </c>
      <c r="G26" s="46"/>
      <c r="H26" s="47">
        <f>+'[1]25-26 Tioga Monthly'!H25+'[2]25-26 Rivers Monthly'!H25+'[3]25-26 RW Catskills Monthly'!H25+'[4]del Lago Monthly FY 25-26'!H25</f>
        <v>0</v>
      </c>
      <c r="I26" s="46"/>
      <c r="J26" s="48"/>
      <c r="K26" s="48"/>
      <c r="L26" s="56">
        <f>+'[1]25-26 Tioga Monthly'!L25+'[2]25-26 Rivers Monthly'!L25+'[3]25-26 RW Catskills Monthly'!L25+'[4]del Lago Monthly FY 25-26'!L25</f>
        <v>0</v>
      </c>
      <c r="M26" s="53">
        <f>+'[1]25-26 Tioga Monthly'!M25+'[2]25-26 Rivers Monthly'!M25+'[3]25-26 RW Catskills Monthly'!M25+'[4]del Lago Monthly FY 25-26'!M25</f>
        <v>0</v>
      </c>
      <c r="N26" s="53">
        <f>+'[1]25-26 Tioga Monthly'!N25+'[2]25-26 Rivers Monthly'!N25+'[3]25-26 RW Catskills Monthly'!N25+'[4]del Lago Monthly FY 25-26'!N25</f>
        <v>0</v>
      </c>
      <c r="O26" s="53">
        <f>+'[1]25-26 Tioga Monthly'!O25+'[2]25-26 Rivers Monthly'!O25+'[3]25-26 RW Catskills Monthly'!O25+'[4]del Lago Monthly FY 25-26'!O25</f>
        <v>0</v>
      </c>
      <c r="P26" s="53"/>
      <c r="Q26" s="56">
        <f>+'[1]25-26 Tioga Monthly'!Q25+'[2]25-26 Rivers Monthly'!Q25+'[3]25-26 RW Catskills Monthly'!Q25+'[4]del Lago Monthly FY 25-26'!Q25</f>
        <v>0</v>
      </c>
      <c r="R26" s="53">
        <f>+'[1]25-26 Tioga Monthly'!R25+'[2]25-26 Rivers Monthly'!R25+'[3]25-26 RW Catskills Monthly'!R25+'[4]del Lago Monthly FY 25-26'!R25</f>
        <v>0</v>
      </c>
      <c r="S26" s="49"/>
      <c r="T26" s="53">
        <f>+'[1]25-26 Tioga Monthly'!T25+'[2]25-26 Rivers Monthly'!T25+'[3]25-26 RW Catskills Monthly'!T25+'[4]del Lago Monthly FY 25-26'!T25</f>
        <v>0</v>
      </c>
      <c r="U26" s="46">
        <f>+'[1]25-26 Tioga Monthly'!U25+'[2]25-26 Rivers Monthly'!U25+'[3]25-26 RW Catskills Monthly'!U25+'[4]del Lago Monthly FY 25-26'!U25</f>
        <v>0</v>
      </c>
      <c r="V26"/>
      <c r="W26" s="53">
        <f>+'[1]25-26 Tioga Monthly'!W25+'[2]25-26 Rivers Monthly'!W25+'[3]25-26 RW Catskills Monthly'!W25+'[4]del Lago Monthly FY 25-26'!W25</f>
        <v>0</v>
      </c>
      <c r="X26" s="30"/>
      <c r="Y26" s="30"/>
      <c r="Z26" s="30"/>
      <c r="AA26" s="30"/>
    </row>
    <row r="27" spans="1:27" ht="15.75" thickBot="1" x14ac:dyDescent="0.3">
      <c r="A27" s="4" t="s">
        <v>22</v>
      </c>
      <c r="C27" s="50">
        <f>SUM(C15:C26)</f>
        <v>5324749094.3899994</v>
      </c>
      <c r="D27" s="50">
        <f t="shared" ref="D27:E27" si="0">SUM(D15:D26)</f>
        <v>65920676.590000011</v>
      </c>
      <c r="E27" s="50">
        <f t="shared" si="0"/>
        <v>4830163223.8899994</v>
      </c>
      <c r="F27" s="50">
        <f>SUM(F15:F26)</f>
        <v>428665193.90999997</v>
      </c>
      <c r="G27" s="50"/>
      <c r="H27" s="51">
        <f>+'[2]25-26 Rivers Monthly'!$H$26+'[1]25-26 Tioga Monthly'!$H$26+'[4]del Lago Monthly FY 25-26'!$H$26+'[3]25-26 RW Catskills Monthly'!$H$26</f>
        <v>5207.0282332999996</v>
      </c>
      <c r="I27" s="52">
        <f>+F27/H27/306</f>
        <v>269.03381045754276</v>
      </c>
      <c r="J27" s="48"/>
      <c r="K27" s="46"/>
      <c r="L27" s="51">
        <f>+'[3]25-26 RW Catskills Monthly'!$L$26+'[4]del Lago Monthly FY 25-26'!$L$26+'[1]25-26 Tioga Monthly'!$L$26+'[2]25-26 Rivers Monthly'!$L$26</f>
        <v>281.31354838709677</v>
      </c>
      <c r="M27" s="50">
        <f>SUM(M15:M26)</f>
        <v>728221186.16000009</v>
      </c>
      <c r="N27" s="50">
        <f t="shared" ref="N27:O27" si="1">SUM(N15:N26)</f>
        <v>11866640</v>
      </c>
      <c r="O27" s="50">
        <f t="shared" si="1"/>
        <v>141824171.00999999</v>
      </c>
      <c r="P27" s="46"/>
      <c r="Q27" s="51">
        <f>+'[2]25-26 Rivers Monthly'!$Q$26+'[1]25-26 Tioga Monthly'!$Q$26+'[4]del Lago Monthly FY 25-26'!$Q14+'[3]25-26 RW Catskills Monthly'!$Q14</f>
        <v>54</v>
      </c>
      <c r="R27" s="50">
        <f>SUM(R15:R26)</f>
        <v>8766766</v>
      </c>
      <c r="S27" s="46"/>
      <c r="T27" s="50">
        <f>SUM(T15:T26)</f>
        <v>42047263.520000003</v>
      </c>
      <c r="U27" s="50">
        <f>SUM(U15:U26)</f>
        <v>5150792.2299999995</v>
      </c>
      <c r="V27" s="46"/>
      <c r="W27" s="50">
        <f>SUM(W15:W26)</f>
        <v>584406923.14999998</v>
      </c>
      <c r="X27" s="29">
        <f>SUM(X15:X26)</f>
        <v>440233192.05300003</v>
      </c>
      <c r="Y27" s="29">
        <f>SUM(Y15:Y26)</f>
        <v>144173731.09699997</v>
      </c>
      <c r="Z27" s="29">
        <f>SUM(Z15:Z26)</f>
        <v>699089.88</v>
      </c>
      <c r="AA27" s="45">
        <f t="shared" ref="AA27" si="2">SUM(AA15:AA26)</f>
        <v>1047985.7</v>
      </c>
    </row>
    <row r="28" spans="1:27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X28" s="30"/>
      <c r="Y28" s="33"/>
      <c r="Z28" s="33"/>
      <c r="AA28" s="33"/>
    </row>
    <row r="29" spans="1:27" s="35" customFormat="1" x14ac:dyDescent="0.25">
      <c r="A29" s="32"/>
      <c r="B29" s="32"/>
      <c r="C29" s="33"/>
      <c r="D29" s="34">
        <f>D27/C27</f>
        <v>1.2380053110756357E-2</v>
      </c>
      <c r="E29" s="34">
        <f>E27/C27</f>
        <v>0.90711564775491837</v>
      </c>
      <c r="F29" s="34">
        <f>F27/C27</f>
        <v>8.0504299134325247E-2</v>
      </c>
      <c r="G29" s="34"/>
      <c r="H29" s="33"/>
      <c r="L29" s="33"/>
      <c r="M29" s="33"/>
      <c r="N29" s="33"/>
      <c r="O29" s="33">
        <f>O27/$M$27</f>
        <v>0.1947542500896689</v>
      </c>
      <c r="P29" s="33"/>
      <c r="Q29" s="33"/>
      <c r="R29" s="33"/>
      <c r="X29" s="33">
        <f>X27/$W$27</f>
        <v>0.75329907058613876</v>
      </c>
      <c r="Y29" s="33">
        <f>Y27/$W$27</f>
        <v>0.24670092941386124</v>
      </c>
      <c r="Z29" s="33"/>
      <c r="AA29" s="33"/>
    </row>
    <row r="30" spans="1:27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7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51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39" t="s">
        <v>45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 t="s">
        <v>47</v>
      </c>
    </row>
  </sheetData>
  <mergeCells count="15">
    <mergeCell ref="A31:AA31"/>
    <mergeCell ref="A35:AA35"/>
    <mergeCell ref="A39:AA39"/>
    <mergeCell ref="A9:AA9"/>
    <mergeCell ref="C11:I11"/>
    <mergeCell ref="L11:O11"/>
    <mergeCell ref="Q11:R11"/>
    <mergeCell ref="T11:U11"/>
    <mergeCell ref="W11:AA11"/>
    <mergeCell ref="A6:AA6"/>
    <mergeCell ref="A1:AA1"/>
    <mergeCell ref="A2:AA2"/>
    <mergeCell ref="A3:AA3"/>
    <mergeCell ref="A4:AA4"/>
    <mergeCell ref="A5:AA5"/>
  </mergeCells>
  <conditionalFormatting sqref="C15:W26">
    <cfRule type="cellIs" dxfId="18" priority="2" operator="equal">
      <formula>0</formula>
    </cfRule>
  </conditionalFormatting>
  <conditionalFormatting sqref="AA17">
    <cfRule type="cellIs" dxfId="17" priority="1" operator="equal">
      <formula>0</formula>
    </cfRule>
  </conditionalFormatting>
  <hyperlinks>
    <hyperlink ref="A5" r:id="rId1" xr:uid="{A08A3CE4-EE2A-43DE-B302-B50839B56F8F}"/>
  </hyperlinks>
  <printOptions horizontalCentered="1" verticalCentered="1"/>
  <pageMargins left="0.25" right="0.25" top="0.75" bottom="0.75" header="0.3" footer="0.3"/>
  <pageSetup scale="52" fitToHeight="0" orientation="landscape" r:id="rId2"/>
  <ignoredErrors>
    <ignoredError sqref="I16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3378-B58C-41B7-A062-D9FFF29E6C53}">
  <sheetPr>
    <pageSetUpPr fitToPage="1"/>
  </sheetPr>
  <dimension ref="A1:AA45"/>
  <sheetViews>
    <sheetView topLeftCell="A9" zoomScaleNormal="100" workbookViewId="0">
      <selection activeCell="A40" sqref="A4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4.570312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7.28515625" style="28" customWidth="1"/>
    <col min="13" max="13" width="12.7109375" style="28" customWidth="1"/>
    <col min="14" max="14" width="11.570312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4.28515625" style="1" customWidth="1"/>
    <col min="21" max="21" width="12.140625" style="1" customWidth="1"/>
    <col min="22" max="22" width="2" style="1" customWidth="1"/>
    <col min="23" max="23" width="14.28515625" style="1" customWidth="1"/>
    <col min="24" max="24" width="12.85546875" style="1" bestFit="1" customWidth="1"/>
    <col min="25" max="25" width="14" style="1" bestFit="1" customWidth="1"/>
    <col min="26" max="26" width="10" style="1" bestFit="1" customWidth="1"/>
    <col min="27" max="27" width="15.140625" style="1" bestFit="1" customWidth="1"/>
    <col min="28" max="257" width="9.14062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9.14062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9.14062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9.14062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9.14062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9.14062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9.14062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9.14062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9.14062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9.14062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9.14062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9.14062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9.14062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9.14062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9.14062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9.14062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9.14062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9.14062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9.14062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9.14062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9.14062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9.14062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9.14062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9.14062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9.14062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9.14062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9.14062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9.14062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9.14062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9.14062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9.14062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9.14062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9.14062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9.14062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9.14062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9.14062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9.14062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9.14062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9.14062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9.14062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9.14062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9.14062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9.14062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9.14062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9.14062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9.14062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9.14062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9.14062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9.14062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9.14062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9.14062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9.14062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9.14062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9.14062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9.14062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9.14062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9.14062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9.14062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9.14062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9.14062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9.14062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9.14062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9.14062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9.140625" style="1"/>
  </cols>
  <sheetData>
    <row r="1" spans="1:27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7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7" s="8" customFormat="1" ht="14.25" customHeight="1" x14ac:dyDescent="0.25">
      <c r="A9" s="67" t="s">
        <v>54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7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T11" s="74" t="s">
        <v>32</v>
      </c>
      <c r="U11" s="75"/>
      <c r="W11" s="76" t="s">
        <v>50</v>
      </c>
      <c r="X11" s="77"/>
      <c r="Y11" s="77"/>
      <c r="Z11" s="77"/>
      <c r="AA11" s="78"/>
    </row>
    <row r="12" spans="1:27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U12" s="21" t="s">
        <v>33</v>
      </c>
      <c r="W12" s="16" t="s">
        <v>4</v>
      </c>
      <c r="X12" s="36"/>
      <c r="Y12" s="36"/>
      <c r="Z12" s="36"/>
      <c r="AA12" s="36" t="s">
        <v>23</v>
      </c>
    </row>
    <row r="13" spans="1:27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U13" s="21" t="s">
        <v>34</v>
      </c>
      <c r="W13" s="16" t="s">
        <v>4</v>
      </c>
      <c r="X13" s="16" t="s">
        <v>24</v>
      </c>
      <c r="Y13" s="36" t="s">
        <v>4</v>
      </c>
      <c r="Z13" s="36" t="s">
        <v>25</v>
      </c>
      <c r="AA13" s="36" t="s">
        <v>26</v>
      </c>
    </row>
    <row r="14" spans="1:27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35</v>
      </c>
      <c r="U14" s="43" t="s">
        <v>16</v>
      </c>
      <c r="W14" s="23" t="s">
        <v>21</v>
      </c>
      <c r="X14" s="23" t="s">
        <v>27</v>
      </c>
      <c r="Y14" s="37" t="s">
        <v>28</v>
      </c>
      <c r="Z14" s="37" t="s">
        <v>29</v>
      </c>
      <c r="AA14" s="37" t="s">
        <v>30</v>
      </c>
    </row>
    <row r="15" spans="1:27" x14ac:dyDescent="0.25">
      <c r="A15" s="4">
        <v>45383</v>
      </c>
      <c r="C15" s="46">
        <f>+'[1]24-25 Tioga Monthly'!C14+'[2]24-25 Rivers Monthly'!C14+'[3]24-25 RW Catskills Monthly'!C14+'[4]del Lago Monthly FY 24-25'!C14</f>
        <v>515151316.87</v>
      </c>
      <c r="D15" s="46">
        <f>+'[1]24-25 Tioga Monthly'!D14+'[2]24-25 Rivers Monthly'!D14+'[3]24-25 RW Catskills Monthly'!D14+'[4]del Lago Monthly FY 24-25'!D14</f>
        <v>7082312.6899999995</v>
      </c>
      <c r="E15" s="46">
        <f>+'[1]24-25 Tioga Monthly'!E14+'[2]24-25 Rivers Monthly'!E14+'[3]24-25 RW Catskills Monthly'!E14+'[4]del Lago Monthly FY 24-25'!E14</f>
        <v>468048664.85000002</v>
      </c>
      <c r="F15" s="46">
        <f>+'[1]24-25 Tioga Monthly'!F14+'[2]24-25 Rivers Monthly'!F14+'[3]24-25 RW Catskills Monthly'!F14+'[4]del Lago Monthly FY 24-25'!F14</f>
        <v>40020339.329999998</v>
      </c>
      <c r="G15" s="46"/>
      <c r="H15" s="47">
        <f>+'[1]24-25 Tioga Monthly'!H14+'[2]24-25 Rivers Monthly'!H14+'[3]24-25 RW Catskills Monthly'!H14+'[4]del Lago Monthly FY 24-25'!H14</f>
        <v>5242.9333333333334</v>
      </c>
      <c r="I15" s="46">
        <f>F15/H15/30</f>
        <v>254.43987672295407</v>
      </c>
      <c r="J15" s="48"/>
      <c r="K15" s="48"/>
      <c r="L15" s="56">
        <f>+'[1]24-25 Tioga Monthly'!L14+'[2]24-25 Rivers Monthly'!L14+'[3]24-25 RW Catskills Monthly'!L14+'[4]del Lago Monthly FY 24-25'!L14</f>
        <v>290</v>
      </c>
      <c r="M15" s="53">
        <f>+'[1]24-25 Tioga Monthly'!M14+'[2]24-25 Rivers Monthly'!M14+'[3]24-25 RW Catskills Monthly'!M14+'[4]del Lago Monthly FY 24-25'!M14</f>
        <v>76310839.5</v>
      </c>
      <c r="N15" s="53">
        <f>+'[1]24-25 Tioga Monthly'!N14+'[2]24-25 Rivers Monthly'!N14+'[3]24-25 RW Catskills Monthly'!N14+'[4]del Lago Monthly FY 24-25'!N14</f>
        <v>1144910</v>
      </c>
      <c r="O15" s="53">
        <f>+'[1]24-25 Tioga Monthly'!O14+'[2]24-25 Rivers Monthly'!O14+'[3]24-25 RW Catskills Monthly'!O14+'[4]del Lago Monthly FY 24-25'!O14</f>
        <v>16802974.899999999</v>
      </c>
      <c r="P15" s="53"/>
      <c r="Q15" s="56">
        <f>+'[1]24-25 Tioga Monthly'!Q14+'[2]24-25 Rivers Monthly'!Q14+'[3]24-25 RW Catskills Monthly'!Q14+'[4]del Lago Monthly FY 24-25'!Q14</f>
        <v>55</v>
      </c>
      <c r="R15" s="53">
        <f>+'[1]24-25 Tioga Monthly'!R14+'[2]24-25 Rivers Monthly'!R14+'[3]24-25 RW Catskills Monthly'!R14+'[4]del Lago Monthly FY 24-25'!R14</f>
        <v>959047</v>
      </c>
      <c r="S15" s="49"/>
      <c r="T15" s="53">
        <f>+'[1]24-25 Tioga Monthly'!T14+'[2]24-25 Rivers Monthly'!T14+'[3]24-25 RW Catskills Monthly'!T14+'[4]del Lago Monthly FY 24-25'!T14</f>
        <v>5886823.0599999996</v>
      </c>
      <c r="U15" s="53">
        <f>+'[1]24-25 Tioga Monthly'!U14+'[2]24-25 Rivers Monthly'!U14+'[3]24-25 RW Catskills Monthly'!U14+'[4]del Lago Monthly FY 24-25'!U14</f>
        <v>240681.26999999996</v>
      </c>
      <c r="V15"/>
      <c r="W15" s="53">
        <f>+'[1]24-25 Tioga Monthly'!W14+'[2]24-25 Rivers Monthly'!W14+'[3]24-25 RW Catskills Monthly'!W14+'[4]del Lago Monthly FY 24-25'!W14</f>
        <v>58023042.499999993</v>
      </c>
      <c r="X15" s="30">
        <f>+'[1]24-25 Tioga Monthly'!C36+'[2]24-25 Rivers Monthly'!C36+'[3]24-25 RW Catskills Monthly'!C36+'[4]del Lago Monthly FY 24-25'!C36</f>
        <v>44216670.383999988</v>
      </c>
      <c r="Y15" s="30">
        <f>+'[1]24-25 Tioga Monthly'!D36+'[2]24-25 Rivers Monthly'!D36+'[3]24-25 RW Catskills Monthly'!D36+'[4]del Lago Monthly FY 24-25'!D36</f>
        <v>13806372.116</v>
      </c>
      <c r="Z15" s="30">
        <f>+'[1]24-25 Tioga Monthly'!E36+'[2]24-25 Rivers Monthly'!E36+'[3]24-25 RW Catskills Monthly'!E36+'[4]del Lago Monthly FY 24-25'!E36</f>
        <v>77037.63</v>
      </c>
      <c r="AA15" s="30">
        <f>+'[1]24-25 Tioga Monthly'!F36+'[2]24-25 Rivers Monthly'!F36+'[3]24-25 RW Catskills Monthly'!F36+'[4]del Lago Monthly FY 24-25'!F36</f>
        <v>0</v>
      </c>
    </row>
    <row r="16" spans="1:27" x14ac:dyDescent="0.25">
      <c r="A16" s="4">
        <v>45414</v>
      </c>
      <c r="C16" s="46">
        <f>+'[1]24-25 Tioga Monthly'!C15+'[2]24-25 Rivers Monthly'!C15+'[3]24-25 RW Catskills Monthly'!C15+'[4]del Lago Monthly FY 24-25'!C15</f>
        <v>528888842.87</v>
      </c>
      <c r="D16" s="46">
        <f>+'[1]24-25 Tioga Monthly'!D15+'[2]24-25 Rivers Monthly'!D15+'[3]24-25 RW Catskills Monthly'!D15+'[4]del Lago Monthly FY 24-25'!D15</f>
        <v>7520464.9000000004</v>
      </c>
      <c r="E16" s="46">
        <f>+'[1]24-25 Tioga Monthly'!E15+'[2]24-25 Rivers Monthly'!E15+'[3]24-25 RW Catskills Monthly'!E15+'[4]del Lago Monthly FY 24-25'!E15</f>
        <v>480705281.01999998</v>
      </c>
      <c r="F16" s="46">
        <f>+'[1]24-25 Tioga Monthly'!F15+'[2]24-25 Rivers Monthly'!F15+'[3]24-25 RW Catskills Monthly'!F15+'[4]del Lago Monthly FY 24-25'!F15</f>
        <v>40663096.950000003</v>
      </c>
      <c r="G16" s="46"/>
      <c r="H16" s="47">
        <f>+'[1]24-25 Tioga Monthly'!H15+'[2]24-25 Rivers Monthly'!H15+'[3]24-25 RW Catskills Monthly'!H15+'[4]del Lago Monthly FY 24-25'!H15</f>
        <v>5228</v>
      </c>
      <c r="I16" s="46">
        <f>F16/H16/31</f>
        <v>250.9014546363255</v>
      </c>
      <c r="J16" s="48"/>
      <c r="K16" s="48"/>
      <c r="L16" s="56">
        <f>+'[1]24-25 Tioga Monthly'!L15+'[2]24-25 Rivers Monthly'!L15+'[3]24-25 RW Catskills Monthly'!L15+'[4]del Lago Monthly FY 24-25'!L15</f>
        <v>290</v>
      </c>
      <c r="M16" s="53">
        <f>+'[1]24-25 Tioga Monthly'!M15+'[2]24-25 Rivers Monthly'!M15+'[3]24-25 RW Catskills Monthly'!M15+'[4]del Lago Monthly FY 24-25'!M15</f>
        <v>73600910</v>
      </c>
      <c r="N16" s="53">
        <f>+'[1]24-25 Tioga Monthly'!N15+'[2]24-25 Rivers Monthly'!N15+'[3]24-25 RW Catskills Monthly'!N15+'[4]del Lago Monthly FY 24-25'!N15</f>
        <v>1157755</v>
      </c>
      <c r="O16" s="53">
        <f>+'[1]24-25 Tioga Monthly'!O15+'[2]24-25 Rivers Monthly'!O15+'[3]24-25 RW Catskills Monthly'!O15+'[4]del Lago Monthly FY 24-25'!O15</f>
        <v>15145635.4</v>
      </c>
      <c r="P16" s="53"/>
      <c r="Q16" s="56">
        <f>+'[1]24-25 Tioga Monthly'!Q15+'[2]24-25 Rivers Monthly'!Q15+'[3]24-25 RW Catskills Monthly'!Q15+'[4]del Lago Monthly FY 24-25'!Q15</f>
        <v>55</v>
      </c>
      <c r="R16" s="53">
        <f>+'[1]24-25 Tioga Monthly'!R15+'[2]24-25 Rivers Monthly'!R15+'[3]24-25 RW Catskills Monthly'!R15+'[4]del Lago Monthly FY 24-25'!R15</f>
        <v>880280</v>
      </c>
      <c r="S16" s="49"/>
      <c r="T16" s="53">
        <f>+'[1]24-25 Tioga Monthly'!T15+'[2]24-25 Rivers Monthly'!T15+'[3]24-25 RW Catskills Monthly'!T15+'[4]del Lago Monthly FY 24-25'!T15</f>
        <v>5370253.9400000004</v>
      </c>
      <c r="U16" s="53">
        <f>+'[1]24-25 Tioga Monthly'!U15+'[2]24-25 Rivers Monthly'!U15+'[3]24-25 RW Catskills Monthly'!U15+'[4]del Lago Monthly FY 24-25'!U15</f>
        <v>412824.35000000009</v>
      </c>
      <c r="V16"/>
      <c r="W16" s="53">
        <f>+'[1]24-25 Tioga Monthly'!W15+'[2]24-25 Rivers Monthly'!W15+'[3]24-25 RW Catskills Monthly'!W15+'[4]del Lago Monthly FY 24-25'!W15</f>
        <v>57101836.700000003</v>
      </c>
      <c r="X16" s="30">
        <f>+'[1]24-25 Tioga Monthly'!C37+'[2]24-25 Rivers Monthly'!C37+'[3]24-25 RW Catskills Monthly'!C37+'[4]del Lago Monthly FY 24-25'!C37</f>
        <v>43259033.640000001</v>
      </c>
      <c r="Y16" s="30">
        <f>+'[1]24-25 Tioga Monthly'!D37+'[2]24-25 Rivers Monthly'!D37+'[3]24-25 RW Catskills Monthly'!D37+'[4]del Lago Monthly FY 24-25'!D37</f>
        <v>13842803.060000001</v>
      </c>
      <c r="Z16" s="30">
        <f>+'[1]24-25 Tioga Monthly'!E37+'[2]24-25 Rivers Monthly'!E37+'[3]24-25 RW Catskills Monthly'!E37+'[4]del Lago Monthly FY 24-25'!E37</f>
        <v>66519.17</v>
      </c>
      <c r="AA16" s="30">
        <f>+'[1]24-25 Tioga Monthly'!F37+'[2]24-25 Rivers Monthly'!F37+'[3]24-25 RW Catskills Monthly'!F37+'[4]del Lago Monthly FY 24-25'!F37</f>
        <v>14888.1</v>
      </c>
    </row>
    <row r="17" spans="1:27" x14ac:dyDescent="0.25">
      <c r="A17" s="4">
        <v>45445</v>
      </c>
      <c r="C17" s="46">
        <f>+'[1]24-25 Tioga Monthly'!C16+'[2]24-25 Rivers Monthly'!C16+'[3]24-25 RW Catskills Monthly'!C16+'[4]del Lago Monthly FY 24-25'!C16</f>
        <v>526664543.07000005</v>
      </c>
      <c r="D17" s="46">
        <f>+'[1]24-25 Tioga Monthly'!D16+'[2]24-25 Rivers Monthly'!D16+'[3]24-25 RW Catskills Monthly'!D16+'[4]del Lago Monthly FY 24-25'!D16</f>
        <v>7541186.879999999</v>
      </c>
      <c r="E17" s="46">
        <f>+'[1]24-25 Tioga Monthly'!E16+'[2]24-25 Rivers Monthly'!E16+'[3]24-25 RW Catskills Monthly'!E16+'[4]del Lago Monthly FY 24-25'!E16</f>
        <v>478069631.19000006</v>
      </c>
      <c r="F17" s="46">
        <f>+'[1]24-25 Tioga Monthly'!F16+'[2]24-25 Rivers Monthly'!F16+'[3]24-25 RW Catskills Monthly'!F16+'[4]del Lago Monthly FY 24-25'!F16</f>
        <v>41053725</v>
      </c>
      <c r="G17" s="46"/>
      <c r="H17" s="47">
        <f>+'[1]24-25 Tioga Monthly'!H16+'[2]24-25 Rivers Monthly'!H16+'[3]24-25 RW Catskills Monthly'!H16+'[4]del Lago Monthly FY 24-25'!H16</f>
        <v>5207.6000000000004</v>
      </c>
      <c r="I17" s="46">
        <f>F17/H17/30</f>
        <v>262.7808395422075</v>
      </c>
      <c r="J17" s="48"/>
      <c r="K17" s="48"/>
      <c r="L17" s="56">
        <f>+'[1]24-25 Tioga Monthly'!L16+'[2]24-25 Rivers Monthly'!L16+'[3]24-25 RW Catskills Monthly'!L16+'[4]del Lago Monthly FY 24-25'!L16</f>
        <v>290</v>
      </c>
      <c r="M17" s="53">
        <f>+'[1]24-25 Tioga Monthly'!M16+'[2]24-25 Rivers Monthly'!M16+'[3]24-25 RW Catskills Monthly'!M16+'[4]del Lago Monthly FY 24-25'!M16</f>
        <v>76396561.25</v>
      </c>
      <c r="N17" s="53">
        <f>+'[1]24-25 Tioga Monthly'!N16+'[2]24-25 Rivers Monthly'!N16+'[3]24-25 RW Catskills Monthly'!N16+'[4]del Lago Monthly FY 24-25'!N16</f>
        <v>1224960</v>
      </c>
      <c r="O17" s="53">
        <f>+'[1]24-25 Tioga Monthly'!O16+'[2]24-25 Rivers Monthly'!O16+'[3]24-25 RW Catskills Monthly'!O16+'[4]del Lago Monthly FY 24-25'!O16</f>
        <v>14201375.73</v>
      </c>
      <c r="P17" s="49"/>
      <c r="Q17" s="56">
        <f>+'[1]24-25 Tioga Monthly'!Q16+'[2]24-25 Rivers Monthly'!Q16+'[3]24-25 RW Catskills Monthly'!Q16+'[4]del Lago Monthly FY 24-25'!Q16</f>
        <v>55</v>
      </c>
      <c r="R17" s="53">
        <f>+'[1]24-25 Tioga Monthly'!R16+'[2]24-25 Rivers Monthly'!R16+'[3]24-25 RW Catskills Monthly'!R16+'[4]del Lago Monthly FY 24-25'!R16</f>
        <v>880781</v>
      </c>
      <c r="S17" s="49"/>
      <c r="T17" s="53">
        <f>+'[1]24-25 Tioga Monthly'!T16+'[2]24-25 Rivers Monthly'!T16+'[3]24-25 RW Catskills Monthly'!T16+'[4]del Lago Monthly FY 24-25'!T16</f>
        <v>4771465.2699999996</v>
      </c>
      <c r="U17" s="53">
        <f>+'[1]24-25 Tioga Monthly'!U16+'[2]24-25 Rivers Monthly'!U16+'[3]24-25 RW Catskills Monthly'!U16+'[4]del Lago Monthly FY 24-25'!U16</f>
        <v>238699.22</v>
      </c>
      <c r="V17"/>
      <c r="W17" s="53">
        <f>+'[1]24-25 Tioga Monthly'!W16+'[2]24-25 Rivers Monthly'!W16+'[3]24-25 RW Catskills Monthly'!W16+'[4]del Lago Monthly FY 24-25'!W16</f>
        <v>56374580.950000003</v>
      </c>
      <c r="X17" s="30">
        <f>+'[1]24-25 Tioga Monthly'!C38+'[2]24-25 Rivers Monthly'!C38+'[3]24-25 RW Catskills Monthly'!C38+'[4]del Lago Monthly FY 24-25'!C38</f>
        <v>42526377.855000004</v>
      </c>
      <c r="Y17" s="30">
        <f>+'[1]24-25 Tioga Monthly'!D38+'[2]24-25 Rivers Monthly'!D38+'[3]24-25 RW Catskills Monthly'!D38+'[4]del Lago Monthly FY 24-25'!D38</f>
        <v>13848203.095000001</v>
      </c>
      <c r="Z17" s="30">
        <f>+'[1]24-25 Tioga Monthly'!E38+'[2]24-25 Rivers Monthly'!E38+'[3]24-25 RW Catskills Monthly'!E38+'[4]del Lago Monthly FY 24-25'!E38</f>
        <v>58595.729999999996</v>
      </c>
      <c r="AA17" s="30">
        <f>+'[1]24-25 Tioga Monthly'!F38+'[2]24-25 Rivers Monthly'!F38+'[3]24-25 RW Catskills Monthly'!F38+'[4]del Lago Monthly FY 24-25'!F38</f>
        <v>0</v>
      </c>
    </row>
    <row r="18" spans="1:27" x14ac:dyDescent="0.25">
      <c r="A18" s="4">
        <v>45476</v>
      </c>
      <c r="C18" s="46">
        <f>+'[1]24-25 Tioga Monthly'!C17+'[2]24-25 Rivers Monthly'!C17+'[3]24-25 RW Catskills Monthly'!C17+'[4]del Lago Monthly FY 24-25'!C17</f>
        <v>534420391.55000007</v>
      </c>
      <c r="D18" s="46">
        <f>+'[1]24-25 Tioga Monthly'!D17+'[2]24-25 Rivers Monthly'!D17+'[3]24-25 RW Catskills Monthly'!D17+'[4]del Lago Monthly FY 24-25'!D17</f>
        <v>7635861.4199999999</v>
      </c>
      <c r="E18" s="46">
        <f>+'[1]24-25 Tioga Monthly'!E17+'[2]24-25 Rivers Monthly'!E17+'[3]24-25 RW Catskills Monthly'!E17+'[4]del Lago Monthly FY 24-25'!E17</f>
        <v>486054334.56</v>
      </c>
      <c r="F18" s="46">
        <f>+'[1]24-25 Tioga Monthly'!F17+'[2]24-25 Rivers Monthly'!F17+'[3]24-25 RW Catskills Monthly'!F17+'[4]del Lago Monthly FY 24-25'!F17</f>
        <v>40730195.57</v>
      </c>
      <c r="G18" s="46"/>
      <c r="H18" s="47">
        <f>+'[1]24-25 Tioga Monthly'!H17+'[2]24-25 Rivers Monthly'!H17+'[3]24-25 RW Catskills Monthly'!H17+'[4]del Lago Monthly FY 24-25'!H17</f>
        <v>5172</v>
      </c>
      <c r="I18" s="46">
        <f>F18/H18/31</f>
        <v>254.03659637502184</v>
      </c>
      <c r="J18" s="48"/>
      <c r="K18" s="48"/>
      <c r="L18" s="56">
        <f>+'[1]24-25 Tioga Monthly'!L17+'[2]24-25 Rivers Monthly'!L17+'[3]24-25 RW Catskills Monthly'!L17+'[4]del Lago Monthly FY 24-25'!L17</f>
        <v>290</v>
      </c>
      <c r="M18" s="53">
        <f>+'[1]24-25 Tioga Monthly'!M17+'[2]24-25 Rivers Monthly'!M17+'[3]24-25 RW Catskills Monthly'!M17+'[4]del Lago Monthly FY 24-25'!M17</f>
        <v>79714966.099999994</v>
      </c>
      <c r="N18" s="53">
        <f>+'[1]24-25 Tioga Monthly'!N17+'[2]24-25 Rivers Monthly'!N17+'[3]24-25 RW Catskills Monthly'!N17+'[4]del Lago Monthly FY 24-25'!N17</f>
        <v>1181325</v>
      </c>
      <c r="O18" s="53">
        <f>+'[1]24-25 Tioga Monthly'!O17+'[2]24-25 Rivers Monthly'!O17+'[3]24-25 RW Catskills Monthly'!O17+'[4]del Lago Monthly FY 24-25'!O17</f>
        <v>14992632.789999999</v>
      </c>
      <c r="P18" s="49"/>
      <c r="Q18" s="56">
        <f>+'[1]24-25 Tioga Monthly'!Q17+'[2]24-25 Rivers Monthly'!Q17+'[3]24-25 RW Catskills Monthly'!Q17+'[4]del Lago Monthly FY 24-25'!Q17</f>
        <v>55</v>
      </c>
      <c r="R18" s="53">
        <f>+'[1]24-25 Tioga Monthly'!R17+'[2]24-25 Rivers Monthly'!R17+'[3]24-25 RW Catskills Monthly'!R17+'[4]del Lago Monthly FY 24-25'!R17</f>
        <v>935353</v>
      </c>
      <c r="S18" s="49"/>
      <c r="T18" s="53">
        <f>+'[1]24-25 Tioga Monthly'!T17+'[2]24-25 Rivers Monthly'!T17+'[3]24-25 RW Catskills Monthly'!T17+'[4]del Lago Monthly FY 24-25'!T17</f>
        <v>3966405.8500000015</v>
      </c>
      <c r="U18" s="53">
        <f>+'[1]24-25 Tioga Monthly'!U17+'[2]24-25 Rivers Monthly'!U17+'[3]24-25 RW Catskills Monthly'!U17+'[4]del Lago Monthly FY 24-25'!U17</f>
        <v>527614.44999999995</v>
      </c>
      <c r="V18"/>
      <c r="W18" s="53">
        <f>+'[1]24-25 Tioga Monthly'!W17+'[2]24-25 Rivers Monthly'!W17+'[3]24-25 RW Catskills Monthly'!W17+'[4]del Lago Monthly FY 24-25'!W17</f>
        <v>57185795.809999995</v>
      </c>
      <c r="X18" s="30">
        <f>+'[1]24-25 Tioga Monthly'!C39+'[2]24-25 Rivers Monthly'!C39+'[3]24-25 RW Catskills Monthly'!C39+'[4]del Lago Monthly FY 24-25'!C39</f>
        <v>43321177.114999995</v>
      </c>
      <c r="Y18" s="30">
        <f>+'[1]24-25 Tioga Monthly'!D39+'[2]24-25 Rivers Monthly'!D39+'[3]24-25 RW Catskills Monthly'!D39+'[4]del Lago Monthly FY 24-25'!D39</f>
        <v>13864618.694999997</v>
      </c>
      <c r="Z18" s="30">
        <f>+'[1]24-25 Tioga Monthly'!E39+'[2]24-25 Rivers Monthly'!E39+'[3]24-25 RW Catskills Monthly'!E39+'[4]del Lago Monthly FY 24-25'!E39</f>
        <v>72495.680000000008</v>
      </c>
      <c r="AA18" s="30">
        <f>+'[1]24-25 Tioga Monthly'!F39+'[2]24-25 Rivers Monthly'!F39+'[3]24-25 RW Catskills Monthly'!F39+'[4]del Lago Monthly FY 24-25'!F39</f>
        <v>578</v>
      </c>
    </row>
    <row r="19" spans="1:27" x14ac:dyDescent="0.25">
      <c r="A19" s="4">
        <v>45507</v>
      </c>
      <c r="C19" s="46">
        <f>+'[1]24-25 Tioga Monthly'!C18+'[2]24-25 Rivers Monthly'!C18+'[3]24-25 RW Catskills Monthly'!C18+'[4]del Lago Monthly FY 24-25'!C18</f>
        <v>545749966.64999998</v>
      </c>
      <c r="D19" s="46">
        <f>+'[1]24-25 Tioga Monthly'!D18+'[2]24-25 Rivers Monthly'!D18+'[3]24-25 RW Catskills Monthly'!D18+'[4]del Lago Monthly FY 24-25'!D18</f>
        <v>7030830.1899999995</v>
      </c>
      <c r="E19" s="46">
        <f>+'[1]24-25 Tioga Monthly'!E18+'[2]24-25 Rivers Monthly'!E18+'[3]24-25 RW Catskills Monthly'!E18+'[4]del Lago Monthly FY 24-25'!E18</f>
        <v>495820296.23999995</v>
      </c>
      <c r="F19" s="46">
        <f>+'[1]24-25 Tioga Monthly'!F18+'[2]24-25 Rivers Monthly'!F18+'[3]24-25 RW Catskills Monthly'!F18+'[4]del Lago Monthly FY 24-25'!F18</f>
        <v>42898840.219999999</v>
      </c>
      <c r="G19" s="46"/>
      <c r="H19" s="47">
        <f>+'[1]24-25 Tioga Monthly'!H18+'[2]24-25 Rivers Monthly'!H18+'[3]24-25 RW Catskills Monthly'!H18+'[4]del Lago Monthly FY 24-25'!H18</f>
        <v>5171.4193548387102</v>
      </c>
      <c r="I19" s="46">
        <f>F19/H19/31</f>
        <v>267.59260089574207</v>
      </c>
      <c r="J19" s="48"/>
      <c r="K19" s="48"/>
      <c r="L19" s="56">
        <f>+'[1]24-25 Tioga Monthly'!L18+'[2]24-25 Rivers Monthly'!L18+'[3]24-25 RW Catskills Monthly'!L18+'[4]del Lago Monthly FY 24-25'!L18</f>
        <v>290</v>
      </c>
      <c r="M19" s="53">
        <f>+'[1]24-25 Tioga Monthly'!M18+'[2]24-25 Rivers Monthly'!M18+'[3]24-25 RW Catskills Monthly'!M18+'[4]del Lago Monthly FY 24-25'!M18</f>
        <v>85250852</v>
      </c>
      <c r="N19" s="53">
        <f>+'[1]24-25 Tioga Monthly'!N18+'[2]24-25 Rivers Monthly'!N18+'[3]24-25 RW Catskills Monthly'!N18+'[4]del Lago Monthly FY 24-25'!N18</f>
        <v>1212960</v>
      </c>
      <c r="O19" s="53">
        <f>+'[1]24-25 Tioga Monthly'!O18+'[2]24-25 Rivers Monthly'!O18+'[3]24-25 RW Catskills Monthly'!O18+'[4]del Lago Monthly FY 24-25'!O18</f>
        <v>17202707.299999997</v>
      </c>
      <c r="P19" s="49"/>
      <c r="Q19" s="56">
        <f>+'[1]24-25 Tioga Monthly'!Q18+'[2]24-25 Rivers Monthly'!Q18+'[3]24-25 RW Catskills Monthly'!Q18+'[4]del Lago Monthly FY 24-25'!Q18</f>
        <v>55</v>
      </c>
      <c r="R19" s="53">
        <f>+'[1]24-25 Tioga Monthly'!R18+'[2]24-25 Rivers Monthly'!R18+'[3]24-25 RW Catskills Monthly'!R18+'[4]del Lago Monthly FY 24-25'!R18</f>
        <v>1018944.5</v>
      </c>
      <c r="S19" s="49"/>
      <c r="T19" s="53">
        <f>+'[1]24-25 Tioga Monthly'!T18+'[2]24-25 Rivers Monthly'!T18+'[3]24-25 RW Catskills Monthly'!T18+'[4]del Lago Monthly FY 24-25'!T18</f>
        <v>4435619.49</v>
      </c>
      <c r="U19" s="53">
        <f>+'[1]24-25 Tioga Monthly'!U18+'[2]24-25 Rivers Monthly'!U18+'[3]24-25 RW Catskills Monthly'!U18+'[4]del Lago Monthly FY 24-25'!U18</f>
        <v>961948.5199999999</v>
      </c>
      <c r="V19"/>
      <c r="W19" s="53">
        <f>+'[1]24-25 Tioga Monthly'!W18+'[2]24-25 Rivers Monthly'!W18+'[3]24-25 RW Catskills Monthly'!W18+'[4]del Lago Monthly FY 24-25'!W18</f>
        <v>62082440.539999992</v>
      </c>
      <c r="X19" s="30">
        <f>+'[1]24-25 Tioga Monthly'!C40+'[2]24-25 Rivers Monthly'!C40+'[3]24-25 RW Catskills Monthly'!C40+'[4]del Lago Monthly FY 24-25'!C40</f>
        <v>47294428.442000002</v>
      </c>
      <c r="Y19" s="30">
        <f>+'[1]24-25 Tioga Monthly'!D40+'[2]24-25 Rivers Monthly'!D40+'[3]24-25 RW Catskills Monthly'!D40+'[4]del Lago Monthly FY 24-25'!D40</f>
        <v>14788012.097999999</v>
      </c>
      <c r="Z19" s="30">
        <f>+'[1]24-25 Tioga Monthly'!E40+'[2]24-25 Rivers Monthly'!E40+'[3]24-25 RW Catskills Monthly'!E40+'[4]del Lago Monthly FY 24-25'!E40</f>
        <v>59994.899999999994</v>
      </c>
      <c r="AA19" s="30">
        <f>+'[1]24-25 Tioga Monthly'!F40+'[2]24-25 Rivers Monthly'!F40+'[3]24-25 RW Catskills Monthly'!F40+'[4]del Lago Monthly FY 24-25'!F40</f>
        <v>61000</v>
      </c>
    </row>
    <row r="20" spans="1:27" x14ac:dyDescent="0.25">
      <c r="A20" s="4">
        <v>45538</v>
      </c>
      <c r="C20" s="46">
        <f>+'[1]24-25 Tioga Monthly'!C19+'[2]24-25 Rivers Monthly'!C19+'[3]24-25 RW Catskills Monthly'!C19+'[4]del Lago Monthly FY 24-25'!C19</f>
        <v>493516693.92000002</v>
      </c>
      <c r="D20" s="46">
        <f>+'[1]24-25 Tioga Monthly'!D19+'[2]24-25 Rivers Monthly'!D19+'[3]24-25 RW Catskills Monthly'!D19+'[4]del Lago Monthly FY 24-25'!D19</f>
        <v>6058873.8800000008</v>
      </c>
      <c r="E20" s="46">
        <f>+'[1]24-25 Tioga Monthly'!E19+'[2]24-25 Rivers Monthly'!E19+'[3]24-25 RW Catskills Monthly'!E19+'[4]del Lago Monthly FY 24-25'!E19</f>
        <v>448145163.38</v>
      </c>
      <c r="F20" s="46">
        <f>+'[1]24-25 Tioga Monthly'!F19+'[2]24-25 Rivers Monthly'!F19+'[3]24-25 RW Catskills Monthly'!F19+'[4]del Lago Monthly FY 24-25'!F19</f>
        <v>39312656.659999996</v>
      </c>
      <c r="G20" s="46"/>
      <c r="H20" s="47">
        <f>+'[1]24-25 Tioga Monthly'!H19+'[2]24-25 Rivers Monthly'!H19+'[3]24-25 RW Catskills Monthly'!H19+'[4]del Lago Monthly FY 24-25'!H19</f>
        <v>5210.666666666667</v>
      </c>
      <c r="I20" s="46">
        <f>F20/H20/30</f>
        <v>251.48833584953937</v>
      </c>
      <c r="J20" s="48"/>
      <c r="K20" s="48"/>
      <c r="L20" s="56">
        <f>+'[1]24-25 Tioga Monthly'!L19+'[2]24-25 Rivers Monthly'!L19+'[3]24-25 RW Catskills Monthly'!L19+'[4]del Lago Monthly FY 24-25'!L19</f>
        <v>290</v>
      </c>
      <c r="M20" s="53">
        <f>+'[1]24-25 Tioga Monthly'!M19+'[2]24-25 Rivers Monthly'!M19+'[3]24-25 RW Catskills Monthly'!M19+'[4]del Lago Monthly FY 24-25'!M19</f>
        <v>72739699.25</v>
      </c>
      <c r="N20" s="53">
        <f>+'[1]24-25 Tioga Monthly'!N19+'[2]24-25 Rivers Monthly'!N19+'[3]24-25 RW Catskills Monthly'!N19+'[4]del Lago Monthly FY 24-25'!N19</f>
        <v>1058085</v>
      </c>
      <c r="O20" s="53">
        <f>+'[1]24-25 Tioga Monthly'!O19+'[2]24-25 Rivers Monthly'!O19+'[3]24-25 RW Catskills Monthly'!O19+'[4]del Lago Monthly FY 24-25'!O19</f>
        <v>14345044.939999999</v>
      </c>
      <c r="P20" s="49"/>
      <c r="Q20" s="56">
        <f>+'[1]24-25 Tioga Monthly'!Q19+'[2]24-25 Rivers Monthly'!Q19+'[3]24-25 RW Catskills Monthly'!Q19+'[4]del Lago Monthly FY 24-25'!Q19</f>
        <v>55</v>
      </c>
      <c r="R20" s="53">
        <f>+'[1]24-25 Tioga Monthly'!R19+'[2]24-25 Rivers Monthly'!R19+'[3]24-25 RW Catskills Monthly'!R19+'[4]del Lago Monthly FY 24-25'!R19</f>
        <v>872433</v>
      </c>
      <c r="S20" s="49"/>
      <c r="T20" s="53">
        <f>+'[1]24-25 Tioga Monthly'!T19+'[2]24-25 Rivers Monthly'!T19+'[3]24-25 RW Catskills Monthly'!T19+'[4]del Lago Monthly FY 24-25'!T19</f>
        <v>8353964.5999999996</v>
      </c>
      <c r="U20" s="53">
        <f>+'[1]24-25 Tioga Monthly'!U19+'[2]24-25 Rivers Monthly'!U19+'[3]24-25 RW Catskills Monthly'!U19+'[4]del Lago Monthly FY 24-25'!U19</f>
        <v>1356277.2499999995</v>
      </c>
      <c r="V20"/>
      <c r="W20" s="53">
        <f>+'[1]24-25 Tioga Monthly'!W19+'[2]24-25 Rivers Monthly'!W19+'[3]24-25 RW Catskills Monthly'!W19+'[4]del Lago Monthly FY 24-25'!W19</f>
        <v>55886411.850000001</v>
      </c>
      <c r="X20" s="30">
        <f>+'[1]24-25 Tioga Monthly'!C41+'[2]24-25 Rivers Monthly'!C41+'[3]24-25 RW Catskills Monthly'!C41+'[4]del Lago Monthly FY 24-25'!C41</f>
        <v>42435239.333000004</v>
      </c>
      <c r="Y20" s="30">
        <f>+'[1]24-25 Tioga Monthly'!D41+'[2]24-25 Rivers Monthly'!D41+'[3]24-25 RW Catskills Monthly'!D41+'[4]del Lago Monthly FY 24-25'!D41</f>
        <v>13451172.517000001</v>
      </c>
      <c r="Z20" s="30">
        <f>+'[1]24-25 Tioga Monthly'!E41+'[2]24-25 Rivers Monthly'!E41+'[3]24-25 RW Catskills Monthly'!E41+'[4]del Lago Monthly FY 24-25'!E41</f>
        <v>55908.860000000008</v>
      </c>
      <c r="AA20" s="54">
        <f>+'[1]24-25 Tioga Monthly'!F41+'[2]24-25 Rivers Monthly'!F41+'[3]24-25 RW Catskills Monthly'!F41+'[4]del Lago Monthly FY 24-25'!F41</f>
        <v>-2245.88</v>
      </c>
    </row>
    <row r="21" spans="1:27" x14ac:dyDescent="0.25">
      <c r="A21" s="4">
        <v>45569</v>
      </c>
      <c r="C21" s="46">
        <f>+'[1]24-25 Tioga Monthly'!C20+'[2]24-25 Rivers Monthly'!C20+'[3]24-25 RW Catskills Monthly'!C20+'[4]del Lago Monthly FY 24-25'!C20</f>
        <v>500766870.75</v>
      </c>
      <c r="D21" s="46">
        <f>+'[1]24-25 Tioga Monthly'!D20+'[2]24-25 Rivers Monthly'!D20+'[3]24-25 RW Catskills Monthly'!D20+'[4]del Lago Monthly FY 24-25'!D20</f>
        <v>6031164.5099999998</v>
      </c>
      <c r="E21" s="46">
        <f>+'[1]24-25 Tioga Monthly'!E20+'[2]24-25 Rivers Monthly'!E20+'[3]24-25 RW Catskills Monthly'!E20+'[4]del Lago Monthly FY 24-25'!E20</f>
        <v>454528869.15999997</v>
      </c>
      <c r="F21" s="46">
        <f>+'[1]24-25 Tioga Monthly'!F20+'[2]24-25 Rivers Monthly'!F20+'[3]24-25 RW Catskills Monthly'!F20+'[4]del Lago Monthly FY 24-25'!F20</f>
        <v>40206837.079999998</v>
      </c>
      <c r="G21" s="46"/>
      <c r="H21" s="47">
        <f>+'[1]24-25 Tioga Monthly'!H20+'[2]24-25 Rivers Monthly'!H20+'[3]24-25 RW Catskills Monthly'!H20+'[4]del Lago Monthly FY 24-25'!H20</f>
        <v>5212</v>
      </c>
      <c r="I21" s="46">
        <f>F21/H21/31</f>
        <v>248.84780209442229</v>
      </c>
      <c r="J21" s="48"/>
      <c r="K21" s="48"/>
      <c r="L21" s="56">
        <f>+'[1]24-25 Tioga Monthly'!L20+'[2]24-25 Rivers Monthly'!L20+'[3]24-25 RW Catskills Monthly'!L20+'[4]del Lago Monthly FY 24-25'!L20</f>
        <v>290</v>
      </c>
      <c r="M21" s="53">
        <f>+'[1]24-25 Tioga Monthly'!M20+'[2]24-25 Rivers Monthly'!M20+'[3]24-25 RW Catskills Monthly'!M20+'[4]del Lago Monthly FY 24-25'!M20</f>
        <v>70191422</v>
      </c>
      <c r="N21" s="53">
        <f>+'[1]24-25 Tioga Monthly'!N20+'[2]24-25 Rivers Monthly'!N20+'[3]24-25 RW Catskills Monthly'!N20+'[4]del Lago Monthly FY 24-25'!N20</f>
        <v>994065</v>
      </c>
      <c r="O21" s="53">
        <f>+'[1]24-25 Tioga Monthly'!O20+'[2]24-25 Rivers Monthly'!O20+'[3]24-25 RW Catskills Monthly'!O20+'[4]del Lago Monthly FY 24-25'!O20</f>
        <v>12645883.6</v>
      </c>
      <c r="P21" s="49"/>
      <c r="Q21" s="56">
        <f>+'[1]24-25 Tioga Monthly'!Q20+'[2]24-25 Rivers Monthly'!Q20+'[3]24-25 RW Catskills Monthly'!Q20+'[4]del Lago Monthly FY 24-25'!Q20</f>
        <v>55</v>
      </c>
      <c r="R21" s="53">
        <f>+'[1]24-25 Tioga Monthly'!R20+'[2]24-25 Rivers Monthly'!R20+'[3]24-25 RW Catskills Monthly'!R20+'[4]del Lago Monthly FY 24-25'!R20</f>
        <v>842668</v>
      </c>
      <c r="S21" s="49"/>
      <c r="T21" s="53">
        <f>+'[1]24-25 Tioga Monthly'!T20+'[2]24-25 Rivers Monthly'!T20+'[3]24-25 RW Catskills Monthly'!T20+'[4]del Lago Monthly FY 24-25'!T20</f>
        <v>8304807.4400000013</v>
      </c>
      <c r="U21" s="53">
        <f>+'[1]24-25 Tioga Monthly'!U20+'[2]24-25 Rivers Monthly'!U20+'[3]24-25 RW Catskills Monthly'!U20+'[4]del Lago Monthly FY 24-25'!U20</f>
        <v>8034.6899999998859</v>
      </c>
      <c r="V21"/>
      <c r="W21" s="53">
        <f>+'[1]24-25 Tioga Monthly'!W20+'[2]24-25 Rivers Monthly'!W20+'[3]24-25 RW Catskills Monthly'!W20+'[4]del Lago Monthly FY 24-25'!W20</f>
        <v>53703423.370000005</v>
      </c>
      <c r="X21" s="30">
        <f>+'[1]24-25 Tioga Monthly'!C42+'[2]24-25 Rivers Monthly'!C42+'[3]24-25 RW Catskills Monthly'!C42+'[4]del Lago Monthly FY 24-25'!C42</f>
        <v>40291713.616999999</v>
      </c>
      <c r="Y21" s="30">
        <f>+'[1]24-25 Tioga Monthly'!D42+'[2]24-25 Rivers Monthly'!D42+'[3]24-25 RW Catskills Monthly'!D42+'[4]del Lago Monthly FY 24-25'!D42</f>
        <v>13411709.753</v>
      </c>
      <c r="Z21" s="30">
        <f>+'[1]24-25 Tioga Monthly'!E42+'[2]24-25 Rivers Monthly'!E42+'[3]24-25 RW Catskills Monthly'!E42+'[4]del Lago Monthly FY 24-25'!E42</f>
        <v>92461.41</v>
      </c>
      <c r="AA21" s="54">
        <f>+'[1]24-25 Tioga Monthly'!F42+'[2]24-25 Rivers Monthly'!F42+'[3]24-25 RW Catskills Monthly'!F42+'[4]del Lago Monthly FY 24-25'!F42</f>
        <v>990</v>
      </c>
    </row>
    <row r="22" spans="1:27" x14ac:dyDescent="0.25">
      <c r="A22" s="4">
        <v>45600</v>
      </c>
      <c r="C22" s="46">
        <f>+'[1]24-25 Tioga Monthly'!C21+'[2]24-25 Rivers Monthly'!C21+'[3]24-25 RW Catskills Monthly'!C21+'[4]del Lago Monthly FY 24-25'!C21</f>
        <v>493336167.37</v>
      </c>
      <c r="D22" s="46">
        <f>+'[1]24-25 Tioga Monthly'!D21+'[2]24-25 Rivers Monthly'!D21+'[3]24-25 RW Catskills Monthly'!D21+'[4]del Lago Monthly FY 24-25'!D21</f>
        <v>5542094.1699999999</v>
      </c>
      <c r="E22" s="46">
        <f>+'[1]24-25 Tioga Monthly'!E21+'[2]24-25 Rivers Monthly'!E21+'[3]24-25 RW Catskills Monthly'!E21+'[4]del Lago Monthly FY 24-25'!E21</f>
        <v>447503977.20999998</v>
      </c>
      <c r="F22" s="46">
        <f>+'[1]24-25 Tioga Monthly'!F21+'[2]24-25 Rivers Monthly'!F21+'[3]24-25 RW Catskills Monthly'!F21+'[4]del Lago Monthly FY 24-25'!F21</f>
        <v>40290095.989999995</v>
      </c>
      <c r="G22" s="46"/>
      <c r="H22" s="47">
        <f>+'[1]24-25 Tioga Monthly'!H21+'[2]24-25 Rivers Monthly'!H21+'[3]24-25 RW Catskills Monthly'!H21+'[4]del Lago Monthly FY 24-25'!H21</f>
        <v>5214</v>
      </c>
      <c r="I22" s="46">
        <f>F22/H22/30</f>
        <v>257.57637124408637</v>
      </c>
      <c r="J22" s="48"/>
      <c r="K22" s="48"/>
      <c r="L22" s="56">
        <f>+'[1]24-25 Tioga Monthly'!L21+'[2]24-25 Rivers Monthly'!L21+'[3]24-25 RW Catskills Monthly'!L21+'[4]del Lago Monthly FY 24-25'!L21</f>
        <v>290</v>
      </c>
      <c r="M22" s="53">
        <f>+'[1]24-25 Tioga Monthly'!M21+'[2]24-25 Rivers Monthly'!M21+'[3]24-25 RW Catskills Monthly'!M21+'[4]del Lago Monthly FY 24-25'!M21</f>
        <v>73288270.75</v>
      </c>
      <c r="N22" s="53">
        <f>+'[1]24-25 Tioga Monthly'!N21+'[2]24-25 Rivers Monthly'!N21+'[3]24-25 RW Catskills Monthly'!N21+'[4]del Lago Monthly FY 24-25'!N21</f>
        <v>1008045</v>
      </c>
      <c r="O22" s="53">
        <f>+'[1]24-25 Tioga Monthly'!O21+'[2]24-25 Rivers Monthly'!O21+'[3]24-25 RW Catskills Monthly'!O21+'[4]del Lago Monthly FY 24-25'!O21</f>
        <v>14976730.299999999</v>
      </c>
      <c r="P22" s="49"/>
      <c r="Q22" s="56">
        <f>+'[1]24-25 Tioga Monthly'!Q21+'[2]24-25 Rivers Monthly'!Q21+'[3]24-25 RW Catskills Monthly'!Q21+'[4]del Lago Monthly FY 24-25'!Q21</f>
        <v>54.133333333333333</v>
      </c>
      <c r="R22" s="53">
        <f>+'[1]24-25 Tioga Monthly'!R21+'[2]24-25 Rivers Monthly'!R21+'[3]24-25 RW Catskills Monthly'!R21+'[4]del Lago Monthly FY 24-25'!R21</f>
        <v>954211</v>
      </c>
      <c r="S22" s="49"/>
      <c r="T22" s="53">
        <f>+'[1]24-25 Tioga Monthly'!T21+'[2]24-25 Rivers Monthly'!T21+'[3]24-25 RW Catskills Monthly'!T21+'[4]del Lago Monthly FY 24-25'!T21</f>
        <v>8510183.0699999984</v>
      </c>
      <c r="U22" s="53">
        <f>+'[1]24-25 Tioga Monthly'!U21+'[2]24-25 Rivers Monthly'!U21+'[3]24-25 RW Catskills Monthly'!U21+'[4]del Lago Monthly FY 24-25'!U21</f>
        <v>639773.21</v>
      </c>
      <c r="V22"/>
      <c r="W22" s="53">
        <f>+'[1]24-25 Tioga Monthly'!W21+'[2]24-25 Rivers Monthly'!W21+'[3]24-25 RW Catskills Monthly'!W21+'[4]del Lago Monthly FY 24-25'!W21</f>
        <v>56860810.499999993</v>
      </c>
      <c r="X22" s="30">
        <f>+'[1]24-25 Tioga Monthly'!C43+'[2]24-25 Rivers Monthly'!C43+'[3]24-25 RW Catskills Monthly'!C43+'[4]del Lago Monthly FY 24-25'!C43</f>
        <v>43116710.251999997</v>
      </c>
      <c r="Y22" s="30">
        <f>+'[1]24-25 Tioga Monthly'!D43+'[2]24-25 Rivers Monthly'!D43+'[3]24-25 RW Catskills Monthly'!D43+'[4]del Lago Monthly FY 24-25'!D43</f>
        <v>13744100.247999998</v>
      </c>
      <c r="Z22" s="30">
        <f>+'[1]24-25 Tioga Monthly'!E43+'[2]24-25 Rivers Monthly'!E43+'[3]24-25 RW Catskills Monthly'!E43+'[4]del Lago Monthly FY 24-25'!E43</f>
        <v>121126.95000000001</v>
      </c>
      <c r="AA22" s="54">
        <f>+'[1]24-25 Tioga Monthly'!F43+'[2]24-25 Rivers Monthly'!F43+'[3]24-25 RW Catskills Monthly'!F43+'[4]del Lago Monthly FY 24-25'!F43</f>
        <v>18263.900000000001</v>
      </c>
    </row>
    <row r="23" spans="1:27" x14ac:dyDescent="0.25">
      <c r="A23" s="4">
        <v>45631</v>
      </c>
      <c r="C23" s="46">
        <f>+'[1]24-25 Tioga Monthly'!C22+'[2]24-25 Rivers Monthly'!C22+'[3]24-25 RW Catskills Monthly'!C22+'[4]del Lago Monthly FY 24-25'!C22</f>
        <v>470233964.92000002</v>
      </c>
      <c r="D23" s="46">
        <f>+'[1]24-25 Tioga Monthly'!D22+'[2]24-25 Rivers Monthly'!D22+'[3]24-25 RW Catskills Monthly'!D22+'[4]del Lago Monthly FY 24-25'!D22</f>
        <v>5145993.1000000006</v>
      </c>
      <c r="E23" s="46">
        <f>+'[1]24-25 Tioga Monthly'!E22+'[2]24-25 Rivers Monthly'!E22+'[3]24-25 RW Catskills Monthly'!E22+'[4]del Lago Monthly FY 24-25'!E22</f>
        <v>425889174.12</v>
      </c>
      <c r="F23" s="46">
        <f>+'[1]24-25 Tioga Monthly'!F22+'[2]24-25 Rivers Monthly'!F22+'[3]24-25 RW Catskills Monthly'!F22+'[4]del Lago Monthly FY 24-25'!F22</f>
        <v>39198797.700000003</v>
      </c>
      <c r="G23" s="46"/>
      <c r="H23" s="47">
        <f>+'[1]24-25 Tioga Monthly'!H22+'[2]24-25 Rivers Monthly'!H22+'[3]24-25 RW Catskills Monthly'!H22+'[4]del Lago Monthly FY 24-25'!H22</f>
        <v>5215.3182795698922</v>
      </c>
      <c r="I23" s="46">
        <v>243.80242503778447</v>
      </c>
      <c r="J23" s="48"/>
      <c r="K23" s="48"/>
      <c r="L23" s="56">
        <f>+'[1]24-25 Tioga Monthly'!L22+'[2]24-25 Rivers Monthly'!L22+'[3]24-25 RW Catskills Monthly'!L22+'[4]del Lago Monthly FY 24-25'!L22</f>
        <v>287</v>
      </c>
      <c r="M23" s="53">
        <f>+'[1]24-25 Tioga Monthly'!M22+'[2]24-25 Rivers Monthly'!M22+'[3]24-25 RW Catskills Monthly'!M22+'[4]del Lago Monthly FY 24-25'!M22</f>
        <v>71902782</v>
      </c>
      <c r="N23" s="53">
        <f>+'[1]24-25 Tioga Monthly'!N22+'[2]24-25 Rivers Monthly'!N22+'[3]24-25 RW Catskills Monthly'!N22+'[4]del Lago Monthly FY 24-25'!N22</f>
        <v>1042260</v>
      </c>
      <c r="O23" s="53">
        <f>+'[1]24-25 Tioga Monthly'!O22+'[2]24-25 Rivers Monthly'!O22+'[3]24-25 RW Catskills Monthly'!O22+'[4]del Lago Monthly FY 24-25'!O22</f>
        <v>15055073.439999999</v>
      </c>
      <c r="P23" s="49"/>
      <c r="Q23" s="56">
        <f>+'[1]24-25 Tioga Monthly'!Q22+'[2]24-25 Rivers Monthly'!Q22+'[3]24-25 RW Catskills Monthly'!Q22+'[4]del Lago Monthly FY 24-25'!Q22</f>
        <v>54</v>
      </c>
      <c r="R23" s="53">
        <f>+'[1]24-25 Tioga Monthly'!R22+'[2]24-25 Rivers Monthly'!R22+'[3]24-25 RW Catskills Monthly'!R22+'[4]del Lago Monthly FY 24-25'!R22</f>
        <v>916357</v>
      </c>
      <c r="S23" s="49"/>
      <c r="T23" s="53">
        <f>+'[1]24-25 Tioga Monthly'!T22+'[2]24-25 Rivers Monthly'!T22+'[3]24-25 RW Catskills Monthly'!T22+'[4]del Lago Monthly FY 24-25'!T22</f>
        <v>8631718.120000001</v>
      </c>
      <c r="U23" s="46">
        <f>+'[1]24-25 Tioga Monthly'!U22+'[2]24-25 Rivers Monthly'!U22+'[3]24-25 RW Catskills Monthly'!U22+'[4]del Lago Monthly FY 24-25'!U22</f>
        <v>-212661.7799999998</v>
      </c>
      <c r="V23"/>
      <c r="W23" s="53">
        <f>+'[1]24-25 Tioga Monthly'!W22+'[2]24-25 Rivers Monthly'!W22+'[3]24-25 RW Catskills Monthly'!W22+'[4]del Lago Monthly FY 24-25'!W22</f>
        <v>54957566.360000007</v>
      </c>
      <c r="X23" s="30">
        <f>+'[1]24-25 Tioga Monthly'!C44+'[2]24-25 Rivers Monthly'!C44+'[3]24-25 RW Catskills Monthly'!C44+'[4]del Lago Monthly FY 24-25'!C44</f>
        <v>41622050.184</v>
      </c>
      <c r="Y23" s="30">
        <f>+'[1]24-25 Tioga Monthly'!D44+'[2]24-25 Rivers Monthly'!D44+'[3]24-25 RW Catskills Monthly'!D44+'[4]del Lago Monthly FY 24-25'!D44</f>
        <v>13335516.176000003</v>
      </c>
      <c r="Z23" s="30">
        <f>+'[1]24-25 Tioga Monthly'!E44+'[2]24-25 Rivers Monthly'!E44+'[3]24-25 RW Catskills Monthly'!E44+'[4]del Lago Monthly FY 24-25'!E44</f>
        <v>136929.01</v>
      </c>
      <c r="AA23" s="54">
        <f>+'[1]24-25 Tioga Monthly'!F44+'[2]24-25 Rivers Monthly'!F44+'[3]24-25 RW Catskills Monthly'!F44+'[4]del Lago Monthly FY 24-25'!F44</f>
        <v>49577</v>
      </c>
    </row>
    <row r="24" spans="1:27" x14ac:dyDescent="0.25">
      <c r="A24" s="4">
        <v>45662</v>
      </c>
      <c r="C24" s="46">
        <f>+'[1]24-25 Tioga Monthly'!C23+'[2]24-25 Rivers Monthly'!C23+'[3]24-25 RW Catskills Monthly'!C23+'[4]del Lago Monthly FY 24-25'!C23</f>
        <v>456711735.81999999</v>
      </c>
      <c r="D24" s="46">
        <f>+'[1]24-25 Tioga Monthly'!D23+'[2]24-25 Rivers Monthly'!D23+'[3]24-25 RW Catskills Monthly'!D23+'[4]del Lago Monthly FY 24-25'!D23</f>
        <v>4959217.8599999994</v>
      </c>
      <c r="E24" s="46">
        <f>+'[1]24-25 Tioga Monthly'!E23+'[2]24-25 Rivers Monthly'!E23+'[3]24-25 RW Catskills Monthly'!E23+'[4]del Lago Monthly FY 24-25'!E23</f>
        <v>414448395.00999999</v>
      </c>
      <c r="F24" s="46">
        <f>+'[1]24-25 Tioga Monthly'!F23+'[2]24-25 Rivers Monthly'!F23+'[3]24-25 RW Catskills Monthly'!F23+'[4]del Lago Monthly FY 24-25'!F23</f>
        <v>37304122.949999996</v>
      </c>
      <c r="G24" s="46"/>
      <c r="H24" s="47">
        <f>+'[1]24-25 Tioga Monthly'!H23+'[2]24-25 Rivers Monthly'!H23+'[3]24-25 RW Catskills Monthly'!H23+'[4]del Lago Monthly FY 24-25'!H23</f>
        <v>5214.5161290322576</v>
      </c>
      <c r="I24" s="46">
        <f>F24/H24/31</f>
        <v>230.77094308691616</v>
      </c>
      <c r="J24" s="48"/>
      <c r="K24" s="48"/>
      <c r="L24" s="56">
        <f>+'[1]24-25 Tioga Monthly'!L23+'[2]24-25 Rivers Monthly'!L23+'[3]24-25 RW Catskills Monthly'!L23+'[4]del Lago Monthly FY 24-25'!L23</f>
        <v>282</v>
      </c>
      <c r="M24" s="53">
        <f>+'[1]24-25 Tioga Monthly'!M23+'[2]24-25 Rivers Monthly'!M23+'[3]24-25 RW Catskills Monthly'!M23+'[4]del Lago Monthly FY 24-25'!M23</f>
        <v>71486657.75</v>
      </c>
      <c r="N24" s="53">
        <f>+'[1]24-25 Tioga Monthly'!N23+'[2]24-25 Rivers Monthly'!N23+'[3]24-25 RW Catskills Monthly'!N23+'[4]del Lago Monthly FY 24-25'!N23</f>
        <v>1024460</v>
      </c>
      <c r="O24" s="53">
        <f>+'[1]24-25 Tioga Monthly'!O23+'[2]24-25 Rivers Monthly'!O23+'[3]24-25 RW Catskills Monthly'!O23+'[4]del Lago Monthly FY 24-25'!O23</f>
        <v>14833233.51</v>
      </c>
      <c r="P24" s="49"/>
      <c r="Q24" s="56">
        <f>+'[1]24-25 Tioga Monthly'!Q23+'[2]24-25 Rivers Monthly'!Q23+'[3]24-25 RW Catskills Monthly'!Q23+'[4]del Lago Monthly FY 24-25'!Q23</f>
        <v>54</v>
      </c>
      <c r="R24" s="53">
        <f>+'[1]24-25 Tioga Monthly'!R23+'[2]24-25 Rivers Monthly'!R23+'[3]24-25 RW Catskills Monthly'!R23+'[4]del Lago Monthly FY 24-25'!R23</f>
        <v>942747</v>
      </c>
      <c r="S24" s="49"/>
      <c r="T24" s="53">
        <f>+'[1]24-25 Tioga Monthly'!T23+'[2]24-25 Rivers Monthly'!T23+'[3]24-25 RW Catskills Monthly'!T23+'[4]del Lago Monthly FY 24-25'!T23</f>
        <v>6953123.7599999998</v>
      </c>
      <c r="U24" s="53">
        <f>+'[1]24-25 Tioga Monthly'!U23+'[2]24-25 Rivers Monthly'!U23+'[3]24-25 RW Catskills Monthly'!U23+'[4]del Lago Monthly FY 24-25'!U23</f>
        <v>955192.12999999989</v>
      </c>
      <c r="V24"/>
      <c r="W24" s="53">
        <f>+'[1]24-25 Tioga Monthly'!W23+'[2]24-25 Rivers Monthly'!W23+'[3]24-25 RW Catskills Monthly'!W23+'[4]del Lago Monthly FY 24-25'!W23</f>
        <v>54035295.589999996</v>
      </c>
      <c r="X24" s="30">
        <f>+'[1]24-25 Tioga Monthly'!C45+'[2]24-25 Rivers Monthly'!C45+'[3]24-25 RW Catskills Monthly'!C45+'[4]del Lago Monthly FY 24-25'!C45</f>
        <v>41170941.441</v>
      </c>
      <c r="Y24" s="30">
        <f>+'[1]24-25 Tioga Monthly'!D45+'[2]24-25 Rivers Monthly'!D45+'[3]24-25 RW Catskills Monthly'!D45+'[4]del Lago Monthly FY 24-25'!D45</f>
        <v>12864354.148999996</v>
      </c>
      <c r="Z24" s="30">
        <f>+'[1]24-25 Tioga Monthly'!E45+'[2]24-25 Rivers Monthly'!E45+'[3]24-25 RW Catskills Monthly'!E45+'[4]del Lago Monthly FY 24-25'!E45</f>
        <v>82001.06</v>
      </c>
      <c r="AA24" s="54">
        <f>+'[1]24-25 Tioga Monthly'!F45+'[2]24-25 Rivers Monthly'!F45+'[3]24-25 RW Catskills Monthly'!F45+'[4]del Lago Monthly FY 24-25'!F45</f>
        <v>-229.59</v>
      </c>
    </row>
    <row r="25" spans="1:27" x14ac:dyDescent="0.25">
      <c r="A25" s="4">
        <v>45693</v>
      </c>
      <c r="C25" s="46">
        <f>+'[1]24-25 Tioga Monthly'!C24+'[2]24-25 Rivers Monthly'!C24+'[3]24-25 RW Catskills Monthly'!C24+'[4]del Lago Monthly FY 24-25'!C24</f>
        <v>440156837.01999998</v>
      </c>
      <c r="D25" s="46">
        <f>+'[1]24-25 Tioga Monthly'!D24+'[2]24-25 Rivers Monthly'!D24+'[3]24-25 RW Catskills Monthly'!D24+'[4]del Lago Monthly FY 24-25'!D24</f>
        <v>4850600.2300000004</v>
      </c>
      <c r="E25" s="46">
        <f>+'[1]24-25 Tioga Monthly'!E24+'[2]24-25 Rivers Monthly'!E24+'[3]24-25 RW Catskills Monthly'!E24+'[4]del Lago Monthly FY 24-25'!E24</f>
        <v>398992809.35999995</v>
      </c>
      <c r="F25" s="46">
        <f>+'[1]24-25 Tioga Monthly'!F24+'[2]24-25 Rivers Monthly'!F24+'[3]24-25 RW Catskills Monthly'!F24+'[4]del Lago Monthly FY 24-25'!F24</f>
        <v>36313427.43</v>
      </c>
      <c r="G25" s="46"/>
      <c r="H25" s="47">
        <f>+'[1]24-25 Tioga Monthly'!H24+'[2]24-25 Rivers Monthly'!H24+'[3]24-25 RW Catskills Monthly'!H24+'[4]del Lago Monthly FY 24-25'!H24</f>
        <v>5214</v>
      </c>
      <c r="I25" s="46">
        <f>F25/H25/28</f>
        <v>248.73573504027618</v>
      </c>
      <c r="J25" s="48"/>
      <c r="K25" s="48"/>
      <c r="L25" s="56">
        <f>+'[1]24-25 Tioga Monthly'!L24+'[2]24-25 Rivers Monthly'!L24+'[3]24-25 RW Catskills Monthly'!L24+'[4]del Lago Monthly FY 24-25'!L24</f>
        <v>283</v>
      </c>
      <c r="M25" s="53">
        <f>+'[1]24-25 Tioga Monthly'!M24+'[2]24-25 Rivers Monthly'!M24+'[3]24-25 RW Catskills Monthly'!M24+'[4]del Lago Monthly FY 24-25'!M24</f>
        <v>65930889</v>
      </c>
      <c r="N25" s="53">
        <f>+'[1]24-25 Tioga Monthly'!N24+'[2]24-25 Rivers Monthly'!N24+'[3]24-25 RW Catskills Monthly'!N24+'[4]del Lago Monthly FY 24-25'!N24</f>
        <v>1138465</v>
      </c>
      <c r="O25" s="53">
        <f>+'[1]24-25 Tioga Monthly'!O24+'[2]24-25 Rivers Monthly'!O24+'[3]24-25 RW Catskills Monthly'!O24+'[4]del Lago Monthly FY 24-25'!O24</f>
        <v>14215072.6</v>
      </c>
      <c r="P25" s="49"/>
      <c r="Q25" s="56">
        <f>+'[1]24-25 Tioga Monthly'!Q24+'[2]24-25 Rivers Monthly'!Q24+'[3]24-25 RW Catskills Monthly'!Q24+'[4]del Lago Monthly FY 24-25'!Q24</f>
        <v>54</v>
      </c>
      <c r="R25" s="53">
        <f>+'[1]24-25 Tioga Monthly'!R24+'[2]24-25 Rivers Monthly'!R24+'[3]24-25 RW Catskills Monthly'!R24+'[4]del Lago Monthly FY 24-25'!R24</f>
        <v>838180</v>
      </c>
      <c r="S25" s="49"/>
      <c r="T25" s="53">
        <f>+'[1]24-25 Tioga Monthly'!T24+'[2]24-25 Rivers Monthly'!T24+'[3]24-25 RW Catskills Monthly'!T24+'[4]del Lago Monthly FY 24-25'!T24</f>
        <v>4310677.49</v>
      </c>
      <c r="U25" s="46">
        <f>+'[1]24-25 Tioga Monthly'!U24+'[2]24-25 Rivers Monthly'!U24+'[3]24-25 RW Catskills Monthly'!U24+'[4]del Lago Monthly FY 24-25'!U24</f>
        <v>-300522.79000000004</v>
      </c>
      <c r="V25"/>
      <c r="W25" s="53">
        <f>+'[1]24-25 Tioga Monthly'!W24+'[2]24-25 Rivers Monthly'!W24+'[3]24-25 RW Catskills Monthly'!W24+'[4]del Lago Monthly FY 24-25'!W24</f>
        <v>51066157.240000002</v>
      </c>
      <c r="X25" s="30">
        <f>+'[1]24-25 Tioga Monthly'!C46+'[2]24-25 Rivers Monthly'!C46+'[3]24-25 RW Catskills Monthly'!C46+'[4]del Lago Monthly FY 24-25'!C46</f>
        <v>38696856.030000001</v>
      </c>
      <c r="Y25" s="30">
        <f>+'[1]24-25 Tioga Monthly'!D46+'[2]24-25 Rivers Monthly'!D46+'[3]24-25 RW Catskills Monthly'!D46+'[4]del Lago Monthly FY 24-25'!D46</f>
        <v>12369301.210000001</v>
      </c>
      <c r="Z25" s="30">
        <f>+'[1]24-25 Tioga Monthly'!E46+'[2]24-25 Rivers Monthly'!E46+'[3]24-25 RW Catskills Monthly'!E46+'[4]del Lago Monthly FY 24-25'!E46</f>
        <v>98577.69</v>
      </c>
      <c r="AA25" s="54">
        <f>+'[1]24-25 Tioga Monthly'!F46+'[2]24-25 Rivers Monthly'!F46+'[3]24-25 RW Catskills Monthly'!F46+'[4]del Lago Monthly FY 24-25'!F46</f>
        <v>0</v>
      </c>
    </row>
    <row r="26" spans="1:27" x14ac:dyDescent="0.25">
      <c r="A26" s="4">
        <v>45724</v>
      </c>
      <c r="C26" s="46">
        <f>+'[1]24-25 Tioga Monthly'!C25+'[2]24-25 Rivers Monthly'!C25+'[3]24-25 RW Catskills Monthly'!C25+'[4]del Lago Monthly FY 24-25'!C25</f>
        <v>548819000.52999997</v>
      </c>
      <c r="D26" s="46">
        <f>+'[1]24-25 Tioga Monthly'!D25+'[2]24-25 Rivers Monthly'!D25+'[3]24-25 RW Catskills Monthly'!D25+'[4]del Lago Monthly FY 24-25'!D25</f>
        <v>6279979.4400000004</v>
      </c>
      <c r="E26" s="46">
        <f>+'[1]24-25 Tioga Monthly'!E25+'[2]24-25 Rivers Monthly'!E25+'[3]24-25 RW Catskills Monthly'!E25+'[4]del Lago Monthly FY 24-25'!E25</f>
        <v>497686646.42000008</v>
      </c>
      <c r="F26" s="46">
        <f>+'[1]24-25 Tioga Monthly'!F25+'[2]24-25 Rivers Monthly'!F25+'[3]24-25 RW Catskills Monthly'!F25+'[4]del Lago Monthly FY 24-25'!F25</f>
        <v>44852374.670000002</v>
      </c>
      <c r="G26" s="46"/>
      <c r="H26" s="47">
        <f>+'[1]24-25 Tioga Monthly'!H25+'[2]24-25 Rivers Monthly'!H25+'[3]24-25 RW Catskills Monthly'!H25+'[4]del Lago Monthly FY 24-25'!H25</f>
        <v>5214</v>
      </c>
      <c r="I26" s="46">
        <f>F26/H26/31</f>
        <v>277.49343993219247</v>
      </c>
      <c r="J26" s="48"/>
      <c r="K26" s="48"/>
      <c r="L26" s="56">
        <f>+'[1]24-25 Tioga Monthly'!L25+'[2]24-25 Rivers Monthly'!L25+'[3]24-25 RW Catskills Monthly'!L25+'[4]del Lago Monthly FY 24-25'!L25</f>
        <v>283</v>
      </c>
      <c r="M26" s="53">
        <f>+'[1]24-25 Tioga Monthly'!M25+'[2]24-25 Rivers Monthly'!M25+'[3]24-25 RW Catskills Monthly'!M25+'[4]del Lago Monthly FY 24-25'!M25</f>
        <v>72945223.25</v>
      </c>
      <c r="N26" s="53">
        <f>+'[1]24-25 Tioga Monthly'!N25+'[2]24-25 Rivers Monthly'!N25+'[3]24-25 RW Catskills Monthly'!N25+'[4]del Lago Monthly FY 24-25'!N25</f>
        <v>1155490</v>
      </c>
      <c r="O26" s="53">
        <f>+'[1]24-25 Tioga Monthly'!O25+'[2]24-25 Rivers Monthly'!O25+'[3]24-25 RW Catskills Monthly'!O25+'[4]del Lago Monthly FY 24-25'!O25</f>
        <v>14798779.75</v>
      </c>
      <c r="P26" s="49"/>
      <c r="Q26" s="56">
        <f>+'[1]24-25 Tioga Monthly'!Q25+'[2]24-25 Rivers Monthly'!Q25+'[3]24-25 RW Catskills Monthly'!Q25+'[4]del Lago Monthly FY 24-25'!Q25</f>
        <v>54</v>
      </c>
      <c r="R26" s="53">
        <f>+'[1]24-25 Tioga Monthly'!R25+'[2]24-25 Rivers Monthly'!R25+'[3]24-25 RW Catskills Monthly'!R25+'[4]del Lago Monthly FY 24-25'!R25</f>
        <v>972972</v>
      </c>
      <c r="S26" s="49"/>
      <c r="T26" s="53">
        <f>+'[1]24-25 Tioga Monthly'!T25+'[2]24-25 Rivers Monthly'!T25+'[3]24-25 RW Catskills Monthly'!T25+'[4]del Lago Monthly FY 24-25'!T25</f>
        <v>5311230.22</v>
      </c>
      <c r="U26" s="53">
        <f>+'[1]24-25 Tioga Monthly'!U25+'[2]24-25 Rivers Monthly'!U25+'[3]24-25 RW Catskills Monthly'!U25+'[4]del Lago Monthly FY 24-25'!U25</f>
        <v>314702.53000000009</v>
      </c>
      <c r="V26"/>
      <c r="W26" s="53">
        <f>+'[1]24-25 Tioga Monthly'!W25+'[2]24-25 Rivers Monthly'!W25+'[3]24-25 RW Catskills Monthly'!W25+'[4]del Lago Monthly FY 24-25'!W25</f>
        <v>60938828.950000003</v>
      </c>
      <c r="X26" s="30">
        <f>+'[1]24-25 Tioga Monthly'!C47+'[2]24-25 Rivers Monthly'!C47+'[3]24-25 RW Catskills Monthly'!C47+'[4]del Lago Monthly FY 24-25'!C47</f>
        <v>45874471.120999999</v>
      </c>
      <c r="Y26" s="30">
        <f>+'[1]24-25 Tioga Monthly'!D47+'[2]24-25 Rivers Monthly'!D47+'[3]24-25 RW Catskills Monthly'!D47+'[4]del Lago Monthly FY 24-25'!D47</f>
        <v>15064357.828999998</v>
      </c>
      <c r="Z26" s="30">
        <f>+'[1]24-25 Tioga Monthly'!E47+'[2]24-25 Rivers Monthly'!E47+'[3]24-25 RW Catskills Monthly'!E47+'[4]del Lago Monthly FY 24-25'!E47</f>
        <v>52325.729999999996</v>
      </c>
      <c r="AA26" s="54">
        <f>+'[1]24-25 Tioga Monthly'!F47+'[2]24-25 Rivers Monthly'!F47+'[3]24-25 RW Catskills Monthly'!F47+'[4]del Lago Monthly FY 24-25'!F47</f>
        <v>1102640.3500000001</v>
      </c>
    </row>
    <row r="27" spans="1:27" ht="15.75" thickBot="1" x14ac:dyDescent="0.3">
      <c r="A27" s="4" t="s">
        <v>22</v>
      </c>
      <c r="C27" s="50">
        <f>SUM(C15:C26)</f>
        <v>6054416331.3399992</v>
      </c>
      <c r="D27" s="50">
        <f t="shared" ref="D27:E27" si="0">SUM(D15:D26)</f>
        <v>75678579.269999996</v>
      </c>
      <c r="E27" s="50">
        <f t="shared" si="0"/>
        <v>5495893242.5199995</v>
      </c>
      <c r="F27" s="50">
        <f>SUM(F15:F26)</f>
        <v>482844509.55000001</v>
      </c>
      <c r="G27" s="50"/>
      <c r="H27" s="51">
        <f>+'[2]24-25 Rivers Monthly'!$H$26+'[1]24-25 Tioga Monthly'!$H$26+'[4]del Lago Monthly FY 24-25'!$H$26+'[3]24-25 RW Catskills Monthly'!$H$26</f>
        <v>5209.6062081</v>
      </c>
      <c r="I27" s="52">
        <f>+F27/H27/365</f>
        <v>253.92738283043124</v>
      </c>
      <c r="J27" s="48"/>
      <c r="K27" s="46"/>
      <c r="L27" s="51">
        <f>+'[3]24-25 RW Catskills Monthly'!$L$26+'[4]del Lago Monthly FY 24-25'!$L$26+'[1]24-25 Tioga Monthly'!$L$26+'[2]24-25 Rivers Monthly'!$L$26</f>
        <v>287.91666666666663</v>
      </c>
      <c r="M27" s="50">
        <f>SUM(M15:M26)</f>
        <v>889759072.85000002</v>
      </c>
      <c r="N27" s="50">
        <f t="shared" ref="N27:O27" si="1">SUM(N15:N26)</f>
        <v>13342780</v>
      </c>
      <c r="O27" s="50">
        <f t="shared" si="1"/>
        <v>179215144.25999999</v>
      </c>
      <c r="P27" s="46"/>
      <c r="Q27" s="51">
        <f>+'[2]24-25 Rivers Monthly'!$Q$26+'[1]24-25 Tioga Monthly'!$Q$26+'[4]del Lago Monthly FY 24-25'!$Q14+'[3]24-25 RW Catskills Monthly'!$Q14</f>
        <v>55</v>
      </c>
      <c r="R27" s="50">
        <f>SUM(R15:R26)</f>
        <v>11013973.5</v>
      </c>
      <c r="S27" s="46"/>
      <c r="T27" s="50">
        <f>SUM(T15:T26)</f>
        <v>74806272.310000002</v>
      </c>
      <c r="U27" s="50">
        <f>SUM(U15:U26)</f>
        <v>5142563.0499999989</v>
      </c>
      <c r="V27" s="46"/>
      <c r="W27" s="50">
        <f>SUM(W15:W26)</f>
        <v>678216190.36000013</v>
      </c>
      <c r="X27" s="29">
        <f>SUM(X15:X26)</f>
        <v>513825669.41399997</v>
      </c>
      <c r="Y27" s="29">
        <f>SUM(Y15:Y26)</f>
        <v>164390520.94600001</v>
      </c>
      <c r="Z27" s="29">
        <f>SUM(Z15:Z26)</f>
        <v>973973.82000000007</v>
      </c>
      <c r="AA27" s="45">
        <f t="shared" ref="AA27" si="2">SUM(AA15:AA26)</f>
        <v>1245461.8800000001</v>
      </c>
    </row>
    <row r="28" spans="1:27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X28" s="30"/>
      <c r="Y28" s="33"/>
      <c r="Z28" s="33"/>
      <c r="AA28" s="33"/>
    </row>
    <row r="29" spans="1:27" s="35" customFormat="1" x14ac:dyDescent="0.25">
      <c r="A29" s="32"/>
      <c r="B29" s="32"/>
      <c r="C29" s="33"/>
      <c r="D29" s="34">
        <f>D27/C27</f>
        <v>1.2499731622065436E-2</v>
      </c>
      <c r="E29" s="34">
        <f>E27/C27</f>
        <v>0.90774947439130205</v>
      </c>
      <c r="F29" s="34">
        <f>F27/C27</f>
        <v>7.9750793986632568E-2</v>
      </c>
      <c r="G29" s="34"/>
      <c r="H29" s="33"/>
      <c r="L29" s="33"/>
      <c r="M29" s="33"/>
      <c r="N29" s="33"/>
      <c r="O29" s="33">
        <f>O27/$M$27</f>
        <v>0.20141985592341688</v>
      </c>
      <c r="P29" s="33"/>
      <c r="Q29" s="33"/>
      <c r="R29" s="33"/>
      <c r="X29" s="33">
        <f>X27/$W$27</f>
        <v>0.75761339336540912</v>
      </c>
      <c r="Y29" s="33">
        <f>Y27/$W$27</f>
        <v>0.24238660663459066</v>
      </c>
      <c r="Z29" s="33"/>
      <c r="AA29" s="33"/>
    </row>
    <row r="30" spans="1:27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7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51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39" t="s">
        <v>45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 t="s">
        <v>47</v>
      </c>
    </row>
  </sheetData>
  <mergeCells count="15">
    <mergeCell ref="A6:AA6"/>
    <mergeCell ref="A1:AA1"/>
    <mergeCell ref="A2:AA2"/>
    <mergeCell ref="A3:AA3"/>
    <mergeCell ref="A4:AA4"/>
    <mergeCell ref="A5:AA5"/>
    <mergeCell ref="A31:AA31"/>
    <mergeCell ref="A35:AA35"/>
    <mergeCell ref="A39:AA39"/>
    <mergeCell ref="A9:AA9"/>
    <mergeCell ref="C11:I11"/>
    <mergeCell ref="L11:O11"/>
    <mergeCell ref="Q11:R11"/>
    <mergeCell ref="T11:U11"/>
    <mergeCell ref="W11:AA11"/>
  </mergeCells>
  <conditionalFormatting sqref="C15:W26">
    <cfRule type="cellIs" dxfId="16" priority="1" operator="equal">
      <formula>0</formula>
    </cfRule>
  </conditionalFormatting>
  <hyperlinks>
    <hyperlink ref="A5" r:id="rId1" xr:uid="{83FE0DAB-D7D8-4DAB-BB42-AF89D1DCF23F}"/>
  </hyperlinks>
  <printOptions horizontalCentered="1" verticalCentered="1"/>
  <pageMargins left="0.25" right="0.25" top="0.75" bottom="0.75" header="0.3" footer="0.3"/>
  <pageSetup scale="52" fitToHeight="0" orientation="landscape" r:id="rId2"/>
  <ignoredErrors>
    <ignoredError sqref="I16:I17 I20:I21" formula="1"/>
  </ignoredError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24AD-8CEE-4195-AA46-255EAC29C8BB}">
  <sheetPr>
    <pageSetUpPr fitToPage="1"/>
  </sheetPr>
  <dimension ref="A1:AA45"/>
  <sheetViews>
    <sheetView topLeftCell="A11" zoomScaleNormal="100" workbookViewId="0">
      <selection activeCell="A40" sqref="A4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4.570312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7.28515625" style="28" customWidth="1"/>
    <col min="13" max="13" width="12.7109375" style="28" customWidth="1"/>
    <col min="14" max="14" width="11.570312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4.28515625" style="1" customWidth="1"/>
    <col min="21" max="21" width="12.140625" style="1" customWidth="1"/>
    <col min="22" max="22" width="2" style="1" customWidth="1"/>
    <col min="23" max="23" width="14.28515625" style="1" customWidth="1"/>
    <col min="24" max="24" width="12.85546875" style="1" bestFit="1" customWidth="1"/>
    <col min="25" max="25" width="14" style="1" bestFit="1" customWidth="1"/>
    <col min="26" max="26" width="10" style="1" bestFit="1" customWidth="1"/>
    <col min="27" max="27" width="15.140625" style="1" bestFit="1" customWidth="1"/>
    <col min="28" max="257" width="9.14062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9.14062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9.14062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9.14062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9.14062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9.14062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9.14062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9.14062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9.14062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9.14062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9.14062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9.14062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9.14062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9.14062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9.14062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9.14062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9.14062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9.14062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9.14062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9.14062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9.14062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9.14062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9.14062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9.14062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9.14062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9.14062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9.14062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9.14062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9.14062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9.14062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9.14062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9.14062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9.14062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9.14062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9.14062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9.14062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9.14062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9.14062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9.14062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9.14062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9.14062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9.14062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9.14062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9.14062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9.14062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9.14062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9.14062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9.14062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9.14062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9.14062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9.14062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9.14062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9.14062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9.14062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9.14062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9.14062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9.14062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9.14062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9.14062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9.14062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9.14062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9.14062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9.14062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9.140625" style="1"/>
  </cols>
  <sheetData>
    <row r="1" spans="1:27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7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7" s="8" customFormat="1" ht="14.25" customHeight="1" x14ac:dyDescent="0.25">
      <c r="A9" s="67" t="s">
        <v>36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7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T11" s="74" t="s">
        <v>32</v>
      </c>
      <c r="U11" s="75"/>
      <c r="W11" s="76" t="s">
        <v>50</v>
      </c>
      <c r="X11" s="77"/>
      <c r="Y11" s="77"/>
      <c r="Z11" s="77"/>
      <c r="AA11" s="78"/>
    </row>
    <row r="12" spans="1:27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U12" s="21" t="s">
        <v>33</v>
      </c>
      <c r="W12" s="16" t="s">
        <v>4</v>
      </c>
      <c r="X12" s="36"/>
      <c r="Y12" s="36"/>
      <c r="Z12" s="36"/>
      <c r="AA12" s="36" t="s">
        <v>23</v>
      </c>
    </row>
    <row r="13" spans="1:27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U13" s="21" t="s">
        <v>34</v>
      </c>
      <c r="W13" s="16" t="s">
        <v>4</v>
      </c>
      <c r="X13" s="16" t="s">
        <v>24</v>
      </c>
      <c r="Y13" s="36" t="s">
        <v>4</v>
      </c>
      <c r="Z13" s="36" t="s">
        <v>25</v>
      </c>
      <c r="AA13" s="36" t="s">
        <v>26</v>
      </c>
    </row>
    <row r="14" spans="1:27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35</v>
      </c>
      <c r="U14" s="43" t="s">
        <v>16</v>
      </c>
      <c r="W14" s="23" t="s">
        <v>21</v>
      </c>
      <c r="X14" s="23" t="s">
        <v>27</v>
      </c>
      <c r="Y14" s="37" t="s">
        <v>28</v>
      </c>
      <c r="Z14" s="37" t="s">
        <v>29</v>
      </c>
      <c r="AA14" s="37" t="s">
        <v>30</v>
      </c>
    </row>
    <row r="15" spans="1:27" x14ac:dyDescent="0.25">
      <c r="A15" s="4">
        <v>45017</v>
      </c>
      <c r="C15" s="46">
        <f>+'[3]23-24 RW Catskills Monthly '!C14+'[4]del Lago Monthly FY 23-24'!C14+'[1]23-24 Tioga Monthly'!C14+'[2]23-24 Rivers Monthly'!C14</f>
        <v>516259844.93000007</v>
      </c>
      <c r="D15" s="46">
        <f>+'[3]23-24 RW Catskills Monthly '!D14+'[4]del Lago Monthly FY 23-24'!D14+'[1]23-24 Tioga Monthly'!D14+'[2]23-24 Rivers Monthly'!D14</f>
        <v>6467454.4100000001</v>
      </c>
      <c r="E15" s="46">
        <f>+'[3]23-24 RW Catskills Monthly '!E14+'[4]del Lago Monthly FY 23-24'!E14+'[1]23-24 Tioga Monthly'!E14+'[2]23-24 Rivers Monthly'!E14</f>
        <v>470029304.04999995</v>
      </c>
      <c r="F15" s="46">
        <f>+'[3]23-24 RW Catskills Monthly '!F14+'[4]del Lago Monthly FY 23-24'!F14+'[1]23-24 Tioga Monthly'!F14+'[2]23-24 Rivers Monthly'!F14</f>
        <v>39763086.469999999</v>
      </c>
      <c r="G15" s="46">
        <f>+'[3]23-24 RW Catskills Monthly '!G14+'[4]del Lago Monthly FY 23-24'!G14+'[1]23-24 Tioga Monthly'!G14+'[2]23-24 Rivers Monthly'!G14</f>
        <v>0</v>
      </c>
      <c r="H15" s="47">
        <f>+'[3]23-24 RW Catskills Monthly '!H14+'[4]del Lago Monthly FY 23-24'!H14+'[1]23-24 Tioga Monthly'!H14+'[2]23-24 Rivers Monthly'!H14</f>
        <v>5216</v>
      </c>
      <c r="I15" s="46">
        <f>F15/H15/30</f>
        <v>254.10970392382413</v>
      </c>
      <c r="J15" s="48"/>
      <c r="K15" s="48"/>
      <c r="L15" s="49">
        <f>+'[3]23-24 RW Catskills Monthly '!L14+'[4]del Lago Monthly FY 23-24'!L14+'[1]23-24 Tioga Monthly'!L14+'[2]23-24 Rivers Monthly'!L14</f>
        <v>311</v>
      </c>
      <c r="M15" s="53">
        <f>+'[3]23-24 RW Catskills Monthly '!M14+'[4]del Lago Monthly FY 23-24'!M14+'[1]23-24 Tioga Monthly'!M14+'[2]23-24 Rivers Monthly'!M14</f>
        <v>77616718</v>
      </c>
      <c r="N15" s="53">
        <f>+'[3]23-24 RW Catskills Monthly '!N14+'[4]del Lago Monthly FY 23-24'!N14+'[1]23-24 Tioga Monthly'!N14+'[2]23-24 Rivers Monthly'!N14</f>
        <v>493895</v>
      </c>
      <c r="O15" s="53">
        <f>+'[3]23-24 RW Catskills Monthly '!O14+'[4]del Lago Monthly FY 23-24'!O14+'[1]23-24 Tioga Monthly'!O14+'[2]23-24 Rivers Monthly'!O14</f>
        <v>17520067.18</v>
      </c>
      <c r="P15" s="49"/>
      <c r="Q15" s="49">
        <f>+'[3]23-24 RW Catskills Monthly '!Q14+'[4]del Lago Monthly FY 23-24'!Q14+'[1]23-24 Tioga Monthly'!Q14+'[2]23-24 Rivers Monthly'!Q14</f>
        <v>55</v>
      </c>
      <c r="R15" s="53">
        <f>+'[3]23-24 RW Catskills Monthly '!R14+'[4]del Lago Monthly FY 23-24'!R14+'[1]23-24 Tioga Monthly'!R14+'[2]23-24 Rivers Monthly'!R14</f>
        <v>1125551</v>
      </c>
      <c r="S15" s="49"/>
      <c r="T15" s="53">
        <f>+'[3]23-24 RW Catskills Monthly '!T14+'[4]del Lago Monthly FY 23-24'!T14+'[1]23-24 Tioga Monthly'!T14+'[2]23-24 Rivers Monthly'!T14</f>
        <v>5549535.5500000007</v>
      </c>
      <c r="U15" s="53">
        <f>+'[3]23-24 RW Catskills Monthly '!U14+'[4]del Lago Monthly FY 23-24'!U14+'[1]23-24 Tioga Monthly'!U14+'[2]23-24 Rivers Monthly'!U14</f>
        <v>444481.67999999993</v>
      </c>
      <c r="V15"/>
      <c r="W15" s="46">
        <f>F15+O15+R15+U15</f>
        <v>58853186.329999998</v>
      </c>
      <c r="X15" s="30">
        <f>+'[1]23-24 Tioga Monthly'!C36+'[2]23-24 Rivers Monthly'!C36+'[3]23-24 RW Catskills Monthly '!C36+'[4]del Lago Monthly FY 23-24'!C36</f>
        <v>45015250.402999997</v>
      </c>
      <c r="Y15" s="30">
        <f>+'[1]23-24 Tioga Monthly'!D36+'[2]23-24 Rivers Monthly'!D36+'[3]23-24 RW Catskills Monthly '!D36+'[4]del Lago Monthly FY 23-24'!D36</f>
        <v>13837935.926999997</v>
      </c>
      <c r="Z15" s="46">
        <f>+'[3]23-24 RW Catskills Monthly '!E36+'[4]del Lago Monthly FY 23-24'!E36+'[1]23-24 Tioga Monthly'!E36+'[2]23-24 Rivers Monthly'!E36</f>
        <v>49981.17</v>
      </c>
      <c r="AA15" s="46">
        <f>+'[3]23-24 RW Catskills Monthly '!F36+'[4]del Lago Monthly FY 23-24'!F36+'[1]23-24 Tioga Monthly'!F36+'[2]23-24 Rivers Monthly'!F36</f>
        <v>6000</v>
      </c>
    </row>
    <row r="16" spans="1:27" x14ac:dyDescent="0.25">
      <c r="A16" s="4">
        <v>45047</v>
      </c>
      <c r="C16" s="46">
        <f>+'[3]23-24 RW Catskills Monthly '!C15+'[4]del Lago Monthly FY 23-24'!C15+'[1]23-24 Tioga Monthly'!C15+'[2]23-24 Rivers Monthly'!C15</f>
        <v>507612830.27999997</v>
      </c>
      <c r="D16" s="46">
        <f>+'[3]23-24 RW Catskills Monthly '!D15+'[4]del Lago Monthly FY 23-24'!D15+'[1]23-24 Tioga Monthly'!D15+'[2]23-24 Rivers Monthly'!D15</f>
        <v>6819746.4400000004</v>
      </c>
      <c r="E16" s="46">
        <f>+'[3]23-24 RW Catskills Monthly '!E15+'[4]del Lago Monthly FY 23-24'!E15+'[1]23-24 Tioga Monthly'!E15+'[2]23-24 Rivers Monthly'!E15</f>
        <v>461390048.51999998</v>
      </c>
      <c r="F16" s="46">
        <f>+'[3]23-24 RW Catskills Monthly '!F15+'[4]del Lago Monthly FY 23-24'!F15+'[1]23-24 Tioga Monthly'!F15+'[2]23-24 Rivers Monthly'!F15</f>
        <v>39403035.32</v>
      </c>
      <c r="G16" s="46">
        <f>+'[3]23-24 RW Catskills Monthly '!G15+'[4]del Lago Monthly FY 23-24'!G15+'[1]23-24 Tioga Monthly'!G15+'[2]23-24 Rivers Monthly'!G15</f>
        <v>0</v>
      </c>
      <c r="H16" s="47">
        <f>+'[3]23-24 RW Catskills Monthly '!H15+'[4]del Lago Monthly FY 23-24'!H15+'[1]23-24 Tioga Monthly'!H15+'[2]23-24 Rivers Monthly'!H15</f>
        <v>5210</v>
      </c>
      <c r="I16" s="46">
        <f>+F16/H16/31</f>
        <v>243.96653656120364</v>
      </c>
      <c r="J16" s="48"/>
      <c r="K16" s="48"/>
      <c r="L16" s="49">
        <f>+'[3]23-24 RW Catskills Monthly '!L15+'[4]del Lago Monthly FY 23-24'!L15+'[1]23-24 Tioga Monthly'!L15+'[2]23-24 Rivers Monthly'!L15</f>
        <v>309</v>
      </c>
      <c r="M16" s="53">
        <f>+'[3]23-24 RW Catskills Monthly '!M15+'[4]del Lago Monthly FY 23-24'!M15+'[1]23-24 Tioga Monthly'!M15+'[2]23-24 Rivers Monthly'!M15</f>
        <v>78228008</v>
      </c>
      <c r="N16" s="53">
        <f>+'[3]23-24 RW Catskills Monthly '!N15+'[4]del Lago Monthly FY 23-24'!N15+'[1]23-24 Tioga Monthly'!N15+'[2]23-24 Rivers Monthly'!N15</f>
        <v>529225</v>
      </c>
      <c r="O16" s="53">
        <f>+'[3]23-24 RW Catskills Monthly '!O15+'[4]del Lago Monthly FY 23-24'!O15+'[1]23-24 Tioga Monthly'!O15+'[2]23-24 Rivers Monthly'!O15</f>
        <v>14611565.619999999</v>
      </c>
      <c r="P16" s="49"/>
      <c r="Q16" s="49">
        <f>+'[3]23-24 RW Catskills Monthly '!Q15+'[4]del Lago Monthly FY 23-24'!Q15+'[1]23-24 Tioga Monthly'!Q15+'[2]23-24 Rivers Monthly'!Q15</f>
        <v>55</v>
      </c>
      <c r="R16" s="53">
        <f>+'[3]23-24 RW Catskills Monthly '!R15+'[4]del Lago Monthly FY 23-24'!R15+'[1]23-24 Tioga Monthly'!R15+'[2]23-24 Rivers Monthly'!R15</f>
        <v>874790</v>
      </c>
      <c r="S16" s="49"/>
      <c r="T16" s="53">
        <f>+'[3]23-24 RW Catskills Monthly '!T15+'[4]del Lago Monthly FY 23-24'!T15+'[1]23-24 Tioga Monthly'!T15+'[2]23-24 Rivers Monthly'!T15</f>
        <v>5210809.8800000008</v>
      </c>
      <c r="U16" s="53">
        <f>+'[3]23-24 RW Catskills Monthly '!U15+'[4]del Lago Monthly FY 23-24'!U15+'[1]23-24 Tioga Monthly'!U15+'[2]23-24 Rivers Monthly'!U15</f>
        <v>675036.84</v>
      </c>
      <c r="V16"/>
      <c r="W16" s="46">
        <f>F16+O16+R16+U16</f>
        <v>55564427.780000001</v>
      </c>
      <c r="X16" s="30">
        <f>+'[1]23-24 Tioga Monthly'!C37+'[2]23-24 Rivers Monthly'!C37+'[3]23-24 RW Catskills Monthly '!C37+'[4]del Lago Monthly FY 23-24'!C37</f>
        <v>42127377.937999994</v>
      </c>
      <c r="Y16" s="30">
        <f>+'[1]23-24 Tioga Monthly'!D37+'[2]23-24 Rivers Monthly'!D37+'[3]23-24 RW Catskills Monthly '!D37+'[4]del Lago Monthly FY 23-24'!D37</f>
        <v>13437049.842</v>
      </c>
      <c r="Z16" s="46">
        <f>+'[3]23-24 RW Catskills Monthly '!E37+'[4]del Lago Monthly FY 23-24'!E37+'[1]23-24 Tioga Monthly'!E37+'[2]23-24 Rivers Monthly'!E37</f>
        <v>69984.709999999992</v>
      </c>
      <c r="AA16" s="46">
        <f>+'[3]23-24 RW Catskills Monthly '!F37+'[4]del Lago Monthly FY 23-24'!F37+'[1]23-24 Tioga Monthly'!F37+'[2]23-24 Rivers Monthly'!F37</f>
        <v>-3635</v>
      </c>
    </row>
    <row r="17" spans="1:27" x14ac:dyDescent="0.25">
      <c r="A17" s="4">
        <v>45078</v>
      </c>
      <c r="C17" s="46">
        <f>+'[3]23-24 RW Catskills Monthly '!C16+'[4]del Lago Monthly FY 23-24'!C16+'[1]23-24 Tioga Monthly'!C16+'[2]23-24 Rivers Monthly'!C16</f>
        <v>511831432.30000001</v>
      </c>
      <c r="D17" s="46">
        <f>+'[3]23-24 RW Catskills Monthly '!D16+'[4]del Lago Monthly FY 23-24'!D16+'[1]23-24 Tioga Monthly'!D16+'[2]23-24 Rivers Monthly'!D16</f>
        <v>6693717.6600000001</v>
      </c>
      <c r="E17" s="46">
        <f>+'[3]23-24 RW Catskills Monthly '!E16+'[4]del Lago Monthly FY 23-24'!E16+'[1]23-24 Tioga Monthly'!E16+'[2]23-24 Rivers Monthly'!E16</f>
        <v>465785443.44</v>
      </c>
      <c r="F17" s="46">
        <f>+'[3]23-24 RW Catskills Monthly '!F16+'[4]del Lago Monthly FY 23-24'!F16+'[1]23-24 Tioga Monthly'!F16+'[2]23-24 Rivers Monthly'!F16</f>
        <v>39352271.200000003</v>
      </c>
      <c r="G17" s="46">
        <f>+'[3]23-24 RW Catskills Monthly '!G16+'[4]del Lago Monthly FY 23-24'!G16+'[1]23-24 Tioga Monthly'!G16+'[2]23-24 Rivers Monthly'!G16</f>
        <v>0</v>
      </c>
      <c r="H17" s="47">
        <f>+'[3]23-24 RW Catskills Monthly '!H16+'[4]del Lago Monthly FY 23-24'!H16+'[1]23-24 Tioga Monthly'!H16+'[2]23-24 Rivers Monthly'!H16</f>
        <v>5210</v>
      </c>
      <c r="I17" s="46">
        <f>+F17/H17/30</f>
        <v>251.77396801023676</v>
      </c>
      <c r="J17" s="48"/>
      <c r="K17" s="48"/>
      <c r="L17" s="49">
        <f>+'[3]23-24 RW Catskills Monthly '!L16+'[4]del Lago Monthly FY 23-24'!L16+'[1]23-24 Tioga Monthly'!L16+'[2]23-24 Rivers Monthly'!L16</f>
        <v>306</v>
      </c>
      <c r="M17" s="53">
        <f>+'[3]23-24 RW Catskills Monthly '!M16+'[4]del Lago Monthly FY 23-24'!M16+'[1]23-24 Tioga Monthly'!M16+'[2]23-24 Rivers Monthly'!M16</f>
        <v>75930898.049999997</v>
      </c>
      <c r="N17" s="53">
        <f>+'[3]23-24 RW Catskills Monthly '!N16+'[4]del Lago Monthly FY 23-24'!N16+'[1]23-24 Tioga Monthly'!N16+'[2]23-24 Rivers Monthly'!N16</f>
        <v>490350</v>
      </c>
      <c r="O17" s="53">
        <f>+'[3]23-24 RW Catskills Monthly '!O16+'[4]del Lago Monthly FY 23-24'!O16+'[1]23-24 Tioga Monthly'!O16+'[2]23-24 Rivers Monthly'!O16</f>
        <v>16514142.970000001</v>
      </c>
      <c r="P17" s="49"/>
      <c r="Q17" s="49">
        <f>+'[3]23-24 RW Catskills Monthly '!Q16+'[4]del Lago Monthly FY 23-24'!Q16+'[1]23-24 Tioga Monthly'!Q16+'[2]23-24 Rivers Monthly'!Q16</f>
        <v>55</v>
      </c>
      <c r="R17" s="53">
        <f>+'[3]23-24 RW Catskills Monthly '!R16+'[4]del Lago Monthly FY 23-24'!R16+'[1]23-24 Tioga Monthly'!R16+'[2]23-24 Rivers Monthly'!R16</f>
        <v>939015</v>
      </c>
      <c r="S17" s="49"/>
      <c r="T17" s="53">
        <f>+'[3]23-24 RW Catskills Monthly '!T16+'[4]del Lago Monthly FY 23-24'!T16+'[1]23-24 Tioga Monthly'!T16+'[2]23-24 Rivers Monthly'!T16</f>
        <v>4598816.6500000004</v>
      </c>
      <c r="U17" s="53">
        <f>+'[3]23-24 RW Catskills Monthly '!U16+'[4]del Lago Monthly FY 23-24'!U16+'[1]23-24 Tioga Monthly'!U16+'[2]23-24 Rivers Monthly'!U16</f>
        <v>128856.08000000003</v>
      </c>
      <c r="V17"/>
      <c r="W17" s="46">
        <f t="shared" ref="W17:W26" si="0">F17+O17+R17+U17</f>
        <v>56934285.25</v>
      </c>
      <c r="X17" s="30">
        <f>+'[1]23-24 Tioga Monthly'!C38+'[2]23-24 Rivers Monthly'!C38+'[3]23-24 RW Catskills Monthly '!C38+'[4]del Lago Monthly FY 23-24'!C38</f>
        <v>43370402.484999999</v>
      </c>
      <c r="Y17" s="30">
        <f>+'[1]23-24 Tioga Monthly'!D38+'[2]23-24 Rivers Monthly'!D38+'[3]23-24 RW Catskills Monthly '!D38+'[4]del Lago Monthly FY 23-24'!D38</f>
        <v>13563882.764999999</v>
      </c>
      <c r="Z17" s="46">
        <f>+'[3]23-24 RW Catskills Monthly '!E38+'[4]del Lago Monthly FY 23-24'!E38+'[1]23-24 Tioga Monthly'!E38+'[2]23-24 Rivers Monthly'!E38</f>
        <v>69397.119999999995</v>
      </c>
      <c r="AA17" s="46">
        <f>+'[3]23-24 RW Catskills Monthly '!F38+'[4]del Lago Monthly FY 23-24'!F38+'[1]23-24 Tioga Monthly'!F38+'[2]23-24 Rivers Monthly'!F38</f>
        <v>6415.93</v>
      </c>
    </row>
    <row r="18" spans="1:27" x14ac:dyDescent="0.25">
      <c r="A18" s="4">
        <v>45108</v>
      </c>
      <c r="C18" s="46">
        <f>+'[3]23-24 RW Catskills Monthly '!C17+'[4]del Lago Monthly FY 23-24'!C17+'[1]23-24 Tioga Monthly'!C17+'[2]23-24 Rivers Monthly'!C17</f>
        <v>549015431.41000009</v>
      </c>
      <c r="D18" s="46">
        <f>+'[3]23-24 RW Catskills Monthly '!D17+'[4]del Lago Monthly FY 23-24'!D17+'[1]23-24 Tioga Monthly'!D17+'[2]23-24 Rivers Monthly'!D17</f>
        <v>6538711.5199999996</v>
      </c>
      <c r="E18" s="46">
        <f>+'[3]23-24 RW Catskills Monthly '!E17+'[4]del Lago Monthly FY 23-24'!E17+'[1]23-24 Tioga Monthly'!E17+'[2]23-24 Rivers Monthly'!E17</f>
        <v>500247513.68000007</v>
      </c>
      <c r="F18" s="46">
        <f>+'[3]23-24 RW Catskills Monthly '!F17+'[4]del Lago Monthly FY 23-24'!F17+'[1]23-24 Tioga Monthly'!F17+'[2]23-24 Rivers Monthly'!F17</f>
        <v>42229206.210000001</v>
      </c>
      <c r="G18" s="46">
        <f>+'[3]23-24 RW Catskills Monthly '!G17+'[4]del Lago Monthly FY 23-24'!G17+'[1]23-24 Tioga Monthly'!G17+'[2]23-24 Rivers Monthly'!G17</f>
        <v>0</v>
      </c>
      <c r="H18" s="47">
        <f>+'[3]23-24 RW Catskills Monthly '!H17+'[4]del Lago Monthly FY 23-24'!H17+'[1]23-24 Tioga Monthly'!H17+'[2]23-24 Rivers Monthly'!H17</f>
        <v>5210</v>
      </c>
      <c r="I18" s="46">
        <f t="shared" ref="I18:I19" si="1">+F18/H18/31</f>
        <v>261.46496322209151</v>
      </c>
      <c r="J18" s="48"/>
      <c r="K18" s="48"/>
      <c r="L18" s="49">
        <f>+'[3]23-24 RW Catskills Monthly '!L17+'[4]del Lago Monthly FY 23-24'!L17+'[1]23-24 Tioga Monthly'!L17+'[2]23-24 Rivers Monthly'!L17</f>
        <v>305</v>
      </c>
      <c r="M18" s="53">
        <f>+'[3]23-24 RW Catskills Monthly '!M17+'[4]del Lago Monthly FY 23-24'!M17+'[1]23-24 Tioga Monthly'!M17+'[2]23-24 Rivers Monthly'!M17</f>
        <v>86714610</v>
      </c>
      <c r="N18" s="53">
        <f>+'[3]23-24 RW Catskills Monthly '!N17+'[4]del Lago Monthly FY 23-24'!N17+'[1]23-24 Tioga Monthly'!N17+'[2]23-24 Rivers Monthly'!N17</f>
        <v>626410</v>
      </c>
      <c r="O18" s="53">
        <f>+'[3]23-24 RW Catskills Monthly '!O17+'[4]del Lago Monthly FY 23-24'!O17+'[1]23-24 Tioga Monthly'!O17+'[2]23-24 Rivers Monthly'!O17</f>
        <v>13426402.49</v>
      </c>
      <c r="P18" s="49"/>
      <c r="Q18" s="49">
        <f>+'[3]23-24 RW Catskills Monthly '!Q17+'[4]del Lago Monthly FY 23-24'!Q17+'[1]23-24 Tioga Monthly'!Q17+'[2]23-24 Rivers Monthly'!Q17</f>
        <v>55</v>
      </c>
      <c r="R18" s="53">
        <f>+'[3]23-24 RW Catskills Monthly '!R17+'[4]del Lago Monthly FY 23-24'!R17+'[1]23-24 Tioga Monthly'!R17+'[2]23-24 Rivers Monthly'!R17</f>
        <v>1067400</v>
      </c>
      <c r="S18" s="49"/>
      <c r="T18" s="53">
        <f>+'[3]23-24 RW Catskills Monthly '!T17+'[4]del Lago Monthly FY 23-24'!T17+'[1]23-24 Tioga Monthly'!T17+'[2]23-24 Rivers Monthly'!T17</f>
        <v>4429120.57</v>
      </c>
      <c r="U18" s="53">
        <f>+'[3]23-24 RW Catskills Monthly '!U17+'[4]del Lago Monthly FY 23-24'!U17+'[1]23-24 Tioga Monthly'!U17+'[2]23-24 Rivers Monthly'!U17</f>
        <v>378565.83999999997</v>
      </c>
      <c r="V18"/>
      <c r="W18" s="46">
        <f t="shared" si="0"/>
        <v>57101574.540000007</v>
      </c>
      <c r="X18" s="30">
        <f>+'[1]23-24 Tioga Monthly'!C39+'[2]23-24 Rivers Monthly'!C39+'[3]23-24 RW Catskills Monthly '!C39+'[4]del Lago Monthly FY 23-24'!C39</f>
        <v>42945575.844000004</v>
      </c>
      <c r="Y18" s="30">
        <f>+'[1]23-24 Tioga Monthly'!D39+'[2]23-24 Rivers Monthly'!D39+'[3]23-24 RW Catskills Monthly '!D39+'[4]del Lago Monthly FY 23-24'!D39</f>
        <v>14155998.695999999</v>
      </c>
      <c r="Z18" s="46">
        <f>+'[3]23-24 RW Catskills Monthly '!E39+'[4]del Lago Monthly FY 23-24'!E39+'[1]23-24 Tioga Monthly'!E39+'[2]23-24 Rivers Monthly'!E39</f>
        <v>58619.930000000008</v>
      </c>
      <c r="AA18" s="46">
        <f>+'[3]23-24 RW Catskills Monthly '!F39+'[4]del Lago Monthly FY 23-24'!F39+'[1]23-24 Tioga Monthly'!F39+'[2]23-24 Rivers Monthly'!F39</f>
        <v>1000</v>
      </c>
    </row>
    <row r="19" spans="1:27" x14ac:dyDescent="0.25">
      <c r="A19" s="4">
        <v>45139</v>
      </c>
      <c r="C19" s="46">
        <f>+'[3]23-24 RW Catskills Monthly '!C18+'[4]del Lago Monthly FY 23-24'!C18+'[1]23-24 Tioga Monthly'!C18+'[2]23-24 Rivers Monthly'!C18</f>
        <v>538053079.86000013</v>
      </c>
      <c r="D19" s="46">
        <f>+'[3]23-24 RW Catskills Monthly '!D18+'[4]del Lago Monthly FY 23-24'!D18+'[1]23-24 Tioga Monthly'!D18+'[2]23-24 Rivers Monthly'!D18</f>
        <v>7467880.79</v>
      </c>
      <c r="E19" s="46">
        <f>+'[3]23-24 RW Catskills Monthly '!E18+'[4]del Lago Monthly FY 23-24'!E18+'[1]23-24 Tioga Monthly'!E18+'[2]23-24 Rivers Monthly'!E18</f>
        <v>489643847.01999998</v>
      </c>
      <c r="F19" s="46">
        <f>+'[3]23-24 RW Catskills Monthly '!F18+'[4]del Lago Monthly FY 23-24'!F18+'[1]23-24 Tioga Monthly'!F18+'[2]23-24 Rivers Monthly'!F18</f>
        <v>40941352.049999997</v>
      </c>
      <c r="G19" s="46">
        <f>+'[3]23-24 RW Catskills Monthly '!G18+'[4]del Lago Monthly FY 23-24'!G18+'[1]23-24 Tioga Monthly'!G18+'[2]23-24 Rivers Monthly'!G18</f>
        <v>0</v>
      </c>
      <c r="H19" s="47">
        <f>+'[3]23-24 RW Catskills Monthly '!H18+'[4]del Lago Monthly FY 23-24'!H18+'[1]23-24 Tioga Monthly'!H18+'[2]23-24 Rivers Monthly'!H18</f>
        <v>5210</v>
      </c>
      <c r="I19" s="46">
        <f t="shared" si="1"/>
        <v>253.49112779394463</v>
      </c>
      <c r="J19" s="48"/>
      <c r="K19" s="48"/>
      <c r="L19" s="49">
        <f>+'[3]23-24 RW Catskills Monthly '!L18+'[4]del Lago Monthly FY 23-24'!L18+'[1]23-24 Tioga Monthly'!L18+'[2]23-24 Rivers Monthly'!L18</f>
        <v>304.48387096774195</v>
      </c>
      <c r="M19" s="53">
        <f>+'[3]23-24 RW Catskills Monthly '!M18+'[4]del Lago Monthly FY 23-24'!M18+'[1]23-24 Tioga Monthly'!M18+'[2]23-24 Rivers Monthly'!M18</f>
        <v>82635736.5</v>
      </c>
      <c r="N19" s="53">
        <f>+'[3]23-24 RW Catskills Monthly '!N18+'[4]del Lago Monthly FY 23-24'!N18+'[1]23-24 Tioga Monthly'!N18+'[2]23-24 Rivers Monthly'!N18</f>
        <v>732815</v>
      </c>
      <c r="O19" s="53">
        <f>+'[3]23-24 RW Catskills Monthly '!O18+'[4]del Lago Monthly FY 23-24'!O18+'[1]23-24 Tioga Monthly'!O18+'[2]23-24 Rivers Monthly'!O18</f>
        <v>16578549.779999999</v>
      </c>
      <c r="P19" s="49"/>
      <c r="Q19" s="49">
        <f>+'[3]23-24 RW Catskills Monthly '!Q18+'[4]del Lago Monthly FY 23-24'!Q18+'[1]23-24 Tioga Monthly'!Q18+'[2]23-24 Rivers Monthly'!Q18</f>
        <v>55</v>
      </c>
      <c r="R19" s="53">
        <f>+'[3]23-24 RW Catskills Monthly '!R18+'[4]del Lago Monthly FY 23-24'!R18+'[1]23-24 Tioga Monthly'!R18+'[2]23-24 Rivers Monthly'!R18</f>
        <v>951818</v>
      </c>
      <c r="S19" s="49"/>
      <c r="T19" s="53">
        <f>+'[3]23-24 RW Catskills Monthly '!T18+'[4]del Lago Monthly FY 23-24'!T18+'[1]23-24 Tioga Monthly'!T18+'[2]23-24 Rivers Monthly'!T18</f>
        <v>5395737.4399999995</v>
      </c>
      <c r="U19" s="53">
        <f>+'[3]23-24 RW Catskills Monthly '!U18+'[4]del Lago Monthly FY 23-24'!U18+'[1]23-24 Tioga Monthly'!U18+'[2]23-24 Rivers Monthly'!U18</f>
        <v>737407.88000000024</v>
      </c>
      <c r="V19"/>
      <c r="W19" s="46">
        <f t="shared" si="0"/>
        <v>59209127.710000001</v>
      </c>
      <c r="X19" s="30">
        <f>+'[1]23-24 Tioga Monthly'!C40+'[2]23-24 Rivers Monthly'!C40+'[3]23-24 RW Catskills Monthly '!C40+'[4]del Lago Monthly FY 23-24'!C40</f>
        <v>45099944.528999999</v>
      </c>
      <c r="Y19" s="30">
        <f>+'[1]23-24 Tioga Monthly'!D40+'[2]23-24 Rivers Monthly'!D40+'[3]23-24 RW Catskills Monthly '!D40+'[4]del Lago Monthly FY 23-24'!D40</f>
        <v>14109183.180999998</v>
      </c>
      <c r="Z19" s="46">
        <f>+'[3]23-24 RW Catskills Monthly '!E40+'[4]del Lago Monthly FY 23-24'!E40+'[1]23-24 Tioga Monthly'!E40+'[2]23-24 Rivers Monthly'!E40</f>
        <v>60084.42</v>
      </c>
      <c r="AA19" s="46">
        <f>+'[3]23-24 RW Catskills Monthly '!F40+'[4]del Lago Monthly FY 23-24'!F40+'[1]23-24 Tioga Monthly'!F40+'[2]23-24 Rivers Monthly'!F40</f>
        <v>0</v>
      </c>
    </row>
    <row r="20" spans="1:27" x14ac:dyDescent="0.25">
      <c r="A20" s="4">
        <v>45170</v>
      </c>
      <c r="C20" s="46">
        <f>+'[3]23-24 RW Catskills Monthly '!C19+'[4]del Lago Monthly FY 23-24'!C19+'[1]23-24 Tioga Monthly'!C19+'[2]23-24 Rivers Monthly'!C19</f>
        <v>515448275.20999992</v>
      </c>
      <c r="D20" s="46">
        <f>+'[3]23-24 RW Catskills Monthly '!D19+'[4]del Lago Monthly FY 23-24'!D19+'[1]23-24 Tioga Monthly'!D19+'[2]23-24 Rivers Monthly'!D19</f>
        <v>6626830.0800000001</v>
      </c>
      <c r="E20" s="46">
        <f>+'[3]23-24 RW Catskills Monthly '!E19+'[4]del Lago Monthly FY 23-24'!E19+'[1]23-24 Tioga Monthly'!E19+'[2]23-24 Rivers Monthly'!E19</f>
        <v>468780753.02999997</v>
      </c>
      <c r="F20" s="46">
        <f>+'[3]23-24 RW Catskills Monthly '!F19+'[4]del Lago Monthly FY 23-24'!F19+'[1]23-24 Tioga Monthly'!F19+'[2]23-24 Rivers Monthly'!F19</f>
        <v>40040692.099999994</v>
      </c>
      <c r="G20" s="46">
        <f>+'[3]23-24 RW Catskills Monthly '!G19+'[4]del Lago Monthly FY 23-24'!G19+'[1]23-24 Tioga Monthly'!G19+'[2]23-24 Rivers Monthly'!G19</f>
        <v>0</v>
      </c>
      <c r="H20" s="47">
        <f>+'[3]23-24 RW Catskills Monthly '!H19+'[4]del Lago Monthly FY 23-24'!H19+'[1]23-24 Tioga Monthly'!H19+'[2]23-24 Rivers Monthly'!H19</f>
        <v>5210</v>
      </c>
      <c r="I20" s="46">
        <f>+F20/H20/30</f>
        <v>256.1784523352527</v>
      </c>
      <c r="J20" s="48"/>
      <c r="K20" s="48"/>
      <c r="L20" s="49">
        <f>+'[3]23-24 RW Catskills Monthly '!L19+'[4]del Lago Monthly FY 23-24'!L19+'[1]23-24 Tioga Monthly'!L19+'[2]23-24 Rivers Monthly'!L19</f>
        <v>304</v>
      </c>
      <c r="M20" s="53">
        <f>+'[3]23-24 RW Catskills Monthly '!M19+'[4]del Lago Monthly FY 23-24'!M19+'[1]23-24 Tioga Monthly'!M19+'[2]23-24 Rivers Monthly'!M19</f>
        <v>76290629</v>
      </c>
      <c r="N20" s="53">
        <f>+'[3]23-24 RW Catskills Monthly '!N19+'[4]del Lago Monthly FY 23-24'!N19+'[1]23-24 Tioga Monthly'!N19+'[2]23-24 Rivers Monthly'!N19</f>
        <v>678510</v>
      </c>
      <c r="O20" s="53">
        <f>+'[3]23-24 RW Catskills Monthly '!O19+'[4]del Lago Monthly FY 23-24'!O19+'[1]23-24 Tioga Monthly'!O19+'[2]23-24 Rivers Monthly'!O19</f>
        <v>17322987.449999999</v>
      </c>
      <c r="P20" s="49"/>
      <c r="Q20" s="49">
        <f>+'[3]23-24 RW Catskills Monthly '!Q19+'[4]del Lago Monthly FY 23-24'!Q19+'[1]23-24 Tioga Monthly'!Q19+'[2]23-24 Rivers Monthly'!Q19</f>
        <v>55</v>
      </c>
      <c r="R20" s="53">
        <f>+'[3]23-24 RW Catskills Monthly '!R19+'[4]del Lago Monthly FY 23-24'!R19+'[1]23-24 Tioga Monthly'!R19+'[2]23-24 Rivers Monthly'!R19</f>
        <v>933929</v>
      </c>
      <c r="S20" s="49"/>
      <c r="T20" s="53">
        <f>+'[3]23-24 RW Catskills Monthly '!T19+'[4]del Lago Monthly FY 23-24'!T19+'[1]23-24 Tioga Monthly'!T19+'[2]23-24 Rivers Monthly'!T19</f>
        <v>8677023.4200000018</v>
      </c>
      <c r="U20" s="53">
        <f>+'[3]23-24 RW Catskills Monthly '!U19+'[4]del Lago Monthly FY 23-24'!U19+'[1]23-24 Tioga Monthly'!U19+'[2]23-24 Rivers Monthly'!U19</f>
        <v>1272121.83</v>
      </c>
      <c r="V20"/>
      <c r="W20" s="46">
        <f t="shared" si="0"/>
        <v>59569730.379999995</v>
      </c>
      <c r="X20" s="30">
        <f>+'[1]23-24 Tioga Monthly'!C41+'[2]23-24 Rivers Monthly'!C41+'[3]23-24 RW Catskills Monthly '!C41+'[4]del Lago Monthly FY 23-24'!C41</f>
        <v>45604618.921999991</v>
      </c>
      <c r="Y20" s="30">
        <f>+'[1]23-24 Tioga Monthly'!D41+'[2]23-24 Rivers Monthly'!D41+'[3]23-24 RW Catskills Monthly '!D41+'[4]del Lago Monthly FY 23-24'!D41</f>
        <v>13965111.457999997</v>
      </c>
      <c r="Z20" s="46">
        <f>+'[3]23-24 RW Catskills Monthly '!E41+'[4]del Lago Monthly FY 23-24'!E41+'[1]23-24 Tioga Monthly'!E41+'[2]23-24 Rivers Monthly'!E41</f>
        <v>98203.290000000008</v>
      </c>
      <c r="AA20" s="46">
        <f>+'[3]23-24 RW Catskills Monthly '!F41+'[4]del Lago Monthly FY 23-24'!F41+'[1]23-24 Tioga Monthly'!F41+'[2]23-24 Rivers Monthly'!F41</f>
        <v>15825.94</v>
      </c>
    </row>
    <row r="21" spans="1:27" x14ac:dyDescent="0.25">
      <c r="A21" s="4">
        <v>45200</v>
      </c>
      <c r="C21" s="46">
        <f>+'[3]23-24 RW Catskills Monthly '!C20+'[4]del Lago Monthly FY 23-24'!C20+'[1]23-24 Tioga Monthly'!C20+'[2]23-24 Rivers Monthly'!C20</f>
        <v>491743115.00999999</v>
      </c>
      <c r="D21" s="46">
        <f>+'[3]23-24 RW Catskills Monthly '!D20+'[4]del Lago Monthly FY 23-24'!D20+'[1]23-24 Tioga Monthly'!D20+'[2]23-24 Rivers Monthly'!D20</f>
        <v>6129262.6899999995</v>
      </c>
      <c r="E21" s="46">
        <f>+'[3]23-24 RW Catskills Monthly '!E20+'[4]del Lago Monthly FY 23-24'!E20+'[1]23-24 Tioga Monthly'!E20+'[2]23-24 Rivers Monthly'!E20</f>
        <v>447420860.69000006</v>
      </c>
      <c r="F21" s="46">
        <f>+'[3]23-24 RW Catskills Monthly '!F20+'[4]del Lago Monthly FY 23-24'!F20+'[1]23-24 Tioga Monthly'!F20+'[2]23-24 Rivers Monthly'!F20</f>
        <v>38192991.629999995</v>
      </c>
      <c r="G21" s="46">
        <f>+'[3]23-24 RW Catskills Monthly '!G20+'[4]del Lago Monthly FY 23-24'!G20+'[1]23-24 Tioga Monthly'!G20+'[2]23-24 Rivers Monthly'!G20</f>
        <v>0</v>
      </c>
      <c r="H21" s="47">
        <f>+'[3]23-24 RW Catskills Monthly '!H20+'[4]del Lago Monthly FY 23-24'!H20+'[1]23-24 Tioga Monthly'!H20+'[2]23-24 Rivers Monthly'!H20</f>
        <v>5210</v>
      </c>
      <c r="I21" s="46">
        <f>+F21/H21/31</f>
        <v>236.4744698780261</v>
      </c>
      <c r="J21" s="48"/>
      <c r="K21" s="48"/>
      <c r="L21" s="49">
        <f>+'[3]23-24 RW Catskills Monthly '!L20+'[4]del Lago Monthly FY 23-24'!L20+'[1]23-24 Tioga Monthly'!L20+'[2]23-24 Rivers Monthly'!L20</f>
        <v>297</v>
      </c>
      <c r="M21" s="53">
        <f>+'[3]23-24 RW Catskills Monthly '!$M$20+'[4]del Lago Monthly FY 23-24'!M20+'[1]23-24 Tioga Monthly'!M20+'[2]23-24 Rivers Monthly'!M20</f>
        <v>77613407</v>
      </c>
      <c r="N21" s="53">
        <f>+'[3]23-24 RW Catskills Monthly '!N20+'[4]del Lago Monthly FY 23-24'!N20+'[1]23-24 Tioga Monthly'!N20+'[2]23-24 Rivers Monthly'!N20</f>
        <v>762180</v>
      </c>
      <c r="O21" s="53">
        <f>+'[3]23-24 RW Catskills Monthly '!O20+'[4]del Lago Monthly FY 23-24'!O20+'[1]23-24 Tioga Monthly'!O20+'[2]23-24 Rivers Monthly'!O20</f>
        <v>15780230.540000001</v>
      </c>
      <c r="P21" s="49"/>
      <c r="Q21" s="49">
        <f>+'[3]23-24 RW Catskills Monthly '!Q20+'[4]del Lago Monthly FY 23-24'!Q20+'[1]23-24 Tioga Monthly'!Q20+'[2]23-24 Rivers Monthly'!Q20</f>
        <v>55</v>
      </c>
      <c r="R21" s="53">
        <f>+'[3]23-24 RW Catskills Monthly '!R20+'[4]del Lago Monthly FY 23-24'!R20+'[1]23-24 Tioga Monthly'!R20+'[2]23-24 Rivers Monthly'!R20</f>
        <v>923066</v>
      </c>
      <c r="S21" s="49"/>
      <c r="T21" s="53">
        <f>+'[3]23-24 RW Catskills Monthly '!T20+'[4]del Lago Monthly FY 23-24'!T20+'[1]23-24 Tioga Monthly'!T20+'[2]23-24 Rivers Monthly'!T20</f>
        <v>10310075.84</v>
      </c>
      <c r="U21" s="53">
        <f>+'[3]23-24 RW Catskills Monthly '!U20+'[4]del Lago Monthly FY 23-24'!U20+'[1]23-24 Tioga Monthly'!U20+'[2]23-24 Rivers Monthly'!U20</f>
        <v>999474.29999999981</v>
      </c>
      <c r="V21"/>
      <c r="W21" s="46">
        <f t="shared" si="0"/>
        <v>55895762.469999991</v>
      </c>
      <c r="X21" s="30">
        <f>+'[1]23-24 Tioga Monthly'!C42+'[2]23-24 Rivers Monthly'!C42+'[3]23-24 RW Catskills Monthly '!C42+'[4]del Lago Monthly FY 23-24'!C42</f>
        <v>42667587.896999992</v>
      </c>
      <c r="Y21" s="30">
        <f>+'[1]23-24 Tioga Monthly'!D42+'[2]23-24 Rivers Monthly'!D42+'[3]23-24 RW Catskills Monthly '!D42+'[4]del Lago Monthly FY 23-24'!D42</f>
        <v>13228174.572999995</v>
      </c>
      <c r="Z21" s="46">
        <f>+'[3]23-24 RW Catskills Monthly '!E42+'[4]del Lago Monthly FY 23-24'!E42+'[1]23-24 Tioga Monthly'!E42+'[2]23-24 Rivers Monthly'!E42</f>
        <v>69998.429999999993</v>
      </c>
      <c r="AA21" s="46">
        <f>+'[3]23-24 RW Catskills Monthly '!F42+'[4]del Lago Monthly FY 23-24'!F42+'[1]23-24 Tioga Monthly'!F42+'[2]23-24 Rivers Monthly'!F42</f>
        <v>7500</v>
      </c>
    </row>
    <row r="22" spans="1:27" x14ac:dyDescent="0.25">
      <c r="A22" s="4">
        <v>45231</v>
      </c>
      <c r="C22" s="46">
        <f>+'[3]23-24 RW Catskills Monthly '!C21+'[4]del Lago Monthly FY 23-24'!C21+'[1]23-24 Tioga Monthly'!C21+'[2]23-24 Rivers Monthly'!C21</f>
        <v>480390943.38999999</v>
      </c>
      <c r="D22" s="46">
        <f>+'[3]23-24 RW Catskills Monthly '!D21+'[4]del Lago Monthly FY 23-24'!D21+'[1]23-24 Tioga Monthly'!D21+'[2]23-24 Rivers Monthly'!D21</f>
        <v>6270338.9399999995</v>
      </c>
      <c r="E22" s="46">
        <f>+'[3]23-24 RW Catskills Monthly '!E21+'[4]del Lago Monthly FY 23-24'!E21+'[1]23-24 Tioga Monthly'!E21+'[2]23-24 Rivers Monthly'!E21</f>
        <v>437129957.59000003</v>
      </c>
      <c r="F22" s="46">
        <f>+'[3]23-24 RW Catskills Monthly '!F21+'[4]del Lago Monthly FY 23-24'!F21+'[1]23-24 Tioga Monthly'!F21+'[2]23-24 Rivers Monthly'!F21</f>
        <v>36990646.859999999</v>
      </c>
      <c r="G22" s="46">
        <f>+'[3]23-24 RW Catskills Monthly '!G21+'[4]del Lago Monthly FY 23-24'!G21+'[1]23-24 Tioga Monthly'!G21+'[2]23-24 Rivers Monthly'!G21</f>
        <v>0</v>
      </c>
      <c r="H22" s="47">
        <f>+'[3]23-24 RW Catskills Monthly '!H21+'[4]del Lago Monthly FY 23-24'!H21+'[1]23-24 Tioga Monthly'!H21+'[2]23-24 Rivers Monthly'!H21</f>
        <v>5210</v>
      </c>
      <c r="I22" s="46">
        <f>+F22/H22/30</f>
        <v>236.66440729366602</v>
      </c>
      <c r="J22" s="48"/>
      <c r="K22" s="48"/>
      <c r="L22" s="49">
        <f>+'[3]23-24 RW Catskills Monthly '!L21+'[4]del Lago Monthly FY 23-24'!L21+'[1]23-24 Tioga Monthly'!L21+'[2]23-24 Rivers Monthly'!L21</f>
        <v>290</v>
      </c>
      <c r="M22" s="53">
        <f>+'[3]23-24 RW Catskills Monthly '!$M$21+'[4]del Lago Monthly FY 23-24'!M21+'[1]23-24 Tioga Monthly'!M21+'[2]23-24 Rivers Monthly'!M21</f>
        <v>71679602.049999997</v>
      </c>
      <c r="N22" s="53">
        <f>+'[3]23-24 RW Catskills Monthly '!N21+'[4]del Lago Monthly FY 23-24'!N21+'[1]23-24 Tioga Monthly'!N21+'[2]23-24 Rivers Monthly'!N21</f>
        <v>739085</v>
      </c>
      <c r="O22" s="53">
        <f>+'[3]23-24 RW Catskills Monthly '!O21+'[4]del Lago Monthly FY 23-24'!O21+'[1]23-24 Tioga Monthly'!O21+'[2]23-24 Rivers Monthly'!O21</f>
        <v>15790437.460000001</v>
      </c>
      <c r="P22" s="49"/>
      <c r="Q22" s="49">
        <f>+'[3]23-24 RW Catskills Monthly '!Q21+'[4]del Lago Monthly FY 23-24'!Q21+'[1]23-24 Tioga Monthly'!Q21+'[2]23-24 Rivers Monthly'!Q21</f>
        <v>55</v>
      </c>
      <c r="R22" s="53">
        <f>+'[3]23-24 RW Catskills Monthly '!R21+'[4]del Lago Monthly FY 23-24'!R21+'[1]23-24 Tioga Monthly'!R21+'[2]23-24 Rivers Monthly'!R21</f>
        <v>933888</v>
      </c>
      <c r="S22" s="49"/>
      <c r="T22" s="53">
        <f>+'[3]23-24 RW Catskills Monthly '!T21+'[4]del Lago Monthly FY 23-24'!T21+'[1]23-24 Tioga Monthly'!T21+'[2]23-24 Rivers Monthly'!T21</f>
        <v>13037313.359999999</v>
      </c>
      <c r="U22" s="53">
        <f>+'[3]23-24 RW Catskills Monthly '!U21+'[4]del Lago Monthly FY 23-24'!U21+'[1]23-24 Tioga Monthly'!U21+'[2]23-24 Rivers Monthly'!U21</f>
        <v>388063.66000000003</v>
      </c>
      <c r="V22"/>
      <c r="W22" s="46">
        <f t="shared" si="0"/>
        <v>54103035.979999997</v>
      </c>
      <c r="X22" s="30">
        <f>+'[1]23-24 Tioga Monthly'!C43+'[2]23-24 Rivers Monthly'!C43+'[3]23-24 RW Catskills Monthly '!C43+'[4]del Lago Monthly FY 23-24'!C43</f>
        <v>41294603.009999998</v>
      </c>
      <c r="Y22" s="30">
        <f>+'[1]23-24 Tioga Monthly'!D43+'[2]23-24 Rivers Monthly'!D43+'[3]23-24 RW Catskills Monthly '!D43+'[4]del Lago Monthly FY 23-24'!D43</f>
        <v>12808432.969999999</v>
      </c>
      <c r="Z22" s="46">
        <f>+'[3]23-24 RW Catskills Monthly '!E43+'[4]del Lago Monthly FY 23-24'!E43+'[1]23-24 Tioga Monthly'!E43+'[2]23-24 Rivers Monthly'!E43</f>
        <v>91637.119999999995</v>
      </c>
      <c r="AA22" s="46">
        <f>+'[3]23-24 RW Catskills Monthly '!F43+'[4]del Lago Monthly FY 23-24'!F43+'[1]23-24 Tioga Monthly'!F43+'[2]23-24 Rivers Monthly'!F43</f>
        <v>5000</v>
      </c>
    </row>
    <row r="23" spans="1:27" x14ac:dyDescent="0.25">
      <c r="A23" s="4">
        <v>45261</v>
      </c>
      <c r="C23" s="46">
        <f>+'[3]23-24 RW Catskills Monthly '!C22+'[4]del Lago Monthly FY 23-24'!C22+'[1]23-24 Tioga Monthly'!C22+'[2]23-24 Rivers Monthly'!C22</f>
        <v>504701541.94000006</v>
      </c>
      <c r="D23" s="46">
        <f>+'[3]23-24 RW Catskills Monthly '!D22+'[4]del Lago Monthly FY 23-24'!D22+'[1]23-24 Tioga Monthly'!D22+'[2]23-24 Rivers Monthly'!D22</f>
        <v>6574693.0600000015</v>
      </c>
      <c r="E23" s="46">
        <f>+'[3]23-24 RW Catskills Monthly '!E22+'[4]del Lago Monthly FY 23-24'!E22+'[1]23-24 Tioga Monthly'!E22+'[2]23-24 Rivers Monthly'!E22</f>
        <v>458786839.26999998</v>
      </c>
      <c r="F23" s="46">
        <f>+'[3]23-24 RW Catskills Monthly '!F22+'[4]del Lago Monthly FY 23-24'!F22+'[1]23-24 Tioga Monthly'!F22+'[2]23-24 Rivers Monthly'!F22</f>
        <v>39340009.609999992</v>
      </c>
      <c r="G23" s="46">
        <f>+'[3]23-24 RW Catskills Monthly '!G22+'[4]del Lago Monthly FY 23-24'!G22+'[1]23-24 Tioga Monthly'!G22+'[2]23-24 Rivers Monthly'!G22</f>
        <v>0</v>
      </c>
      <c r="H23" s="47">
        <f>+'[3]23-24 RW Catskills Monthly '!H22+'[4]del Lago Monthly FY 23-24'!H22+'[1]23-24 Tioga Monthly'!H22+'[2]23-24 Rivers Monthly'!H22</f>
        <v>5213.2903225806449</v>
      </c>
      <c r="I23" s="46">
        <f>+F23/H23/31</f>
        <v>243.42257759324801</v>
      </c>
      <c r="J23" s="48"/>
      <c r="K23" s="48"/>
      <c r="L23" s="49">
        <f>+'[3]23-24 RW Catskills Monthly '!L22+'[4]del Lago Monthly FY 23-24'!L22+'[1]23-24 Tioga Monthly'!L22+'[2]23-24 Rivers Monthly'!L22</f>
        <v>290</v>
      </c>
      <c r="M23" s="53">
        <f>+'[3]23-24 RW Catskills Monthly '!M22+'[4]del Lago Monthly FY 23-24'!M22+'[1]23-24 Tioga Monthly'!M22+'[2]23-24 Rivers Monthly'!M22</f>
        <v>81854766</v>
      </c>
      <c r="N23" s="53">
        <f>+'[3]23-24 RW Catskills Monthly '!N22+'[4]del Lago Monthly FY 23-24'!N22+'[1]23-24 Tioga Monthly'!N22+'[2]23-24 Rivers Monthly'!N22</f>
        <v>962660</v>
      </c>
      <c r="O23" s="53">
        <f>+'[3]23-24 RW Catskills Monthly '!O22+'[4]del Lago Monthly FY 23-24'!O22+'[1]23-24 Tioga Monthly'!O22+'[2]23-24 Rivers Monthly'!O22</f>
        <v>14561658.9</v>
      </c>
      <c r="P23" s="49"/>
      <c r="Q23" s="49">
        <f>+'[3]23-24 RW Catskills Monthly '!Q22+'[4]del Lago Monthly FY 23-24'!Q22+'[1]23-24 Tioga Monthly'!Q22+'[2]23-24 Rivers Monthly'!Q22</f>
        <v>54.806451612903224</v>
      </c>
      <c r="R23" s="53">
        <f>+'[3]23-24 RW Catskills Monthly '!R22+'[4]del Lago Monthly FY 23-24'!R22+'[1]23-24 Tioga Monthly'!R22+'[2]23-24 Rivers Monthly'!R22</f>
        <v>1096782</v>
      </c>
      <c r="S23" s="49"/>
      <c r="T23" s="53">
        <f>+'[3]23-24 RW Catskills Monthly '!T22+'[4]del Lago Monthly FY 23-24'!T22+'[1]23-24 Tioga Monthly'!T22+'[2]23-24 Rivers Monthly'!T22</f>
        <v>11804817.16</v>
      </c>
      <c r="U23" s="53">
        <f>+'[3]23-24 RW Catskills Monthly '!U22+'[4]del Lago Monthly FY 23-24'!U22+'[1]23-24 Tioga Monthly'!U22+'[2]23-24 Rivers Monthly'!U22</f>
        <v>987025.72000000009</v>
      </c>
      <c r="V23"/>
      <c r="W23" s="46">
        <f t="shared" si="0"/>
        <v>55985476.229999989</v>
      </c>
      <c r="X23" s="30">
        <f>+'[1]23-24 Tioga Monthly'!C44+'[2]23-24 Rivers Monthly'!C44+'[3]23-24 RW Catskills Monthly '!C44+'[4]del Lago Monthly FY 23-24'!C44</f>
        <v>42518926.684999995</v>
      </c>
      <c r="Y23" s="30">
        <f>+'[1]23-24 Tioga Monthly'!D44+'[2]23-24 Rivers Monthly'!D44+'[3]23-24 RW Catskills Monthly '!D44+'[4]del Lago Monthly FY 23-24'!D44</f>
        <v>13466549.544999994</v>
      </c>
      <c r="Z23" s="46">
        <f>+'[3]23-24 RW Catskills Monthly '!E44+'[4]del Lago Monthly FY 23-24'!E44+'[1]23-24 Tioga Monthly'!E44+'[2]23-24 Rivers Monthly'!E44</f>
        <v>60801.41</v>
      </c>
      <c r="AA23" s="46">
        <f>+'[3]23-24 RW Catskills Monthly '!F44+'[4]del Lago Monthly FY 23-24'!F44+'[1]23-24 Tioga Monthly'!F44+'[2]23-24 Rivers Monthly'!F44</f>
        <v>-482.16</v>
      </c>
    </row>
    <row r="24" spans="1:27" x14ac:dyDescent="0.25">
      <c r="A24" s="4">
        <v>45292</v>
      </c>
      <c r="C24" s="46">
        <f>+'[3]23-24 RW Catskills Monthly '!C23+'[4]del Lago Monthly FY 23-24'!C23+'[1]23-24 Tioga Monthly'!C23+'[2]23-24 Rivers Monthly'!C23</f>
        <v>441264070.15999997</v>
      </c>
      <c r="D24" s="46">
        <f>+'[3]23-24 RW Catskills Monthly '!D23+'[4]del Lago Monthly FY 23-24'!D23+'[1]23-24 Tioga Monthly'!D23+'[2]23-24 Rivers Monthly'!D23</f>
        <v>5810065.8799999999</v>
      </c>
      <c r="E24" s="46">
        <f>+'[3]23-24 RW Catskills Monthly '!E23+'[4]del Lago Monthly FY 23-24'!E23+'[1]23-24 Tioga Monthly'!E23+'[2]23-24 Rivers Monthly'!E23</f>
        <v>401551782.48000002</v>
      </c>
      <c r="F24" s="46">
        <f>+'[3]23-24 RW Catskills Monthly '!F23+'[4]del Lago Monthly FY 23-24'!F23+'[1]23-24 Tioga Monthly'!F23+'[2]23-24 Rivers Monthly'!F23</f>
        <v>33902221.800000004</v>
      </c>
      <c r="G24" s="46">
        <f>+'[3]23-24 RW Catskills Monthly '!G23+'[4]del Lago Monthly FY 23-24'!G23+'[1]23-24 Tioga Monthly'!G23+'[2]23-24 Rivers Monthly'!G23</f>
        <v>0</v>
      </c>
      <c r="H24" s="47">
        <f>+'[3]23-24 RW Catskills Monthly '!H23+'[4]del Lago Monthly FY 23-24'!H23+'[1]23-24 Tioga Monthly'!H23+'[2]23-24 Rivers Monthly'!H23</f>
        <v>5244</v>
      </c>
      <c r="I24" s="46">
        <f>+F24/H24/31</f>
        <v>208.54692182771097</v>
      </c>
      <c r="J24" s="48"/>
      <c r="K24" s="48"/>
      <c r="L24" s="49">
        <f>+'[3]23-24 RW Catskills Monthly '!L23+'[4]del Lago Monthly FY 23-24'!L23+'[1]23-24 Tioga Monthly'!L23+'[2]23-24 Rivers Monthly'!L23</f>
        <v>290</v>
      </c>
      <c r="M24" s="53">
        <f>+'[3]23-24 RW Catskills Monthly '!M23+'[4]del Lago Monthly FY 23-24'!M23+'[1]23-24 Tioga Monthly'!M23+'[2]23-24 Rivers Monthly'!M23</f>
        <v>70938016</v>
      </c>
      <c r="N24" s="53">
        <f>+'[3]23-24 RW Catskills Monthly '!N23+'[4]del Lago Monthly FY 23-24'!N23+'[1]23-24 Tioga Monthly'!N23+'[2]23-24 Rivers Monthly'!N23</f>
        <v>987500</v>
      </c>
      <c r="O24" s="53">
        <f>+'[3]23-24 RW Catskills Monthly '!O23+'[4]del Lago Monthly FY 23-24'!O23+'[1]23-24 Tioga Monthly'!O23+'[2]23-24 Rivers Monthly'!O23</f>
        <v>14122100.75</v>
      </c>
      <c r="P24" s="49"/>
      <c r="Q24" s="49">
        <f>+'[3]23-24 RW Catskills Monthly '!Q23+'[4]del Lago Monthly FY 23-24'!Q23+'[1]23-24 Tioga Monthly'!Q23+'[2]23-24 Rivers Monthly'!Q23</f>
        <v>55</v>
      </c>
      <c r="R24" s="53">
        <f>+'[3]23-24 RW Catskills Monthly '!R23+'[4]del Lago Monthly FY 23-24'!R23+'[1]23-24 Tioga Monthly'!R23+'[2]23-24 Rivers Monthly'!R23</f>
        <v>885334</v>
      </c>
      <c r="S24" s="49"/>
      <c r="T24" s="53">
        <f>+'[3]23-24 RW Catskills Monthly '!T23+'[4]del Lago Monthly FY 23-24'!T23+'[1]23-24 Tioga Monthly'!T23+'[2]23-24 Rivers Monthly'!T23</f>
        <v>9877787.120000001</v>
      </c>
      <c r="U24" s="53">
        <f>+'[3]23-24 RW Catskills Monthly '!U23+'[4]del Lago Monthly FY 23-24'!U23+'[1]23-24 Tioga Monthly'!U23+'[2]23-24 Rivers Monthly'!U23</f>
        <v>201891.25</v>
      </c>
      <c r="V24"/>
      <c r="W24" s="46">
        <f t="shared" si="0"/>
        <v>49111547.800000004</v>
      </c>
      <c r="X24" s="48">
        <f>+'[1]23-24 Tioga Monthly'!C45+'[2]23-24 Rivers Monthly'!C45+'[3]23-24 RW Catskills Monthly '!C45+'[4]del Lago Monthly FY 23-24'!C45</f>
        <v>37419948.659999996</v>
      </c>
      <c r="Y24" s="48">
        <f>+'[1]23-24 Tioga Monthly'!D45+'[2]23-24 Rivers Monthly'!D45+'[3]23-24 RW Catskills Monthly '!D45+'[4]del Lago Monthly FY 23-24'!D45</f>
        <v>11691599.140000001</v>
      </c>
      <c r="Z24" s="46">
        <f>+'[3]23-24 RW Catskills Monthly '!E45+'[4]del Lago Monthly FY 23-24'!E45+'[1]23-24 Tioga Monthly'!E45+'[2]23-24 Rivers Monthly'!E45</f>
        <v>89357.119999999995</v>
      </c>
      <c r="AA24" s="46">
        <f>+'[3]23-24 RW Catskills Monthly '!F45+'[4]del Lago Monthly FY 23-24'!F45+'[1]23-24 Tioga Monthly'!F45+'[2]23-24 Rivers Monthly'!F45</f>
        <v>20</v>
      </c>
    </row>
    <row r="25" spans="1:27" x14ac:dyDescent="0.25">
      <c r="A25" s="4">
        <v>45323</v>
      </c>
      <c r="C25" s="46">
        <f>+'[3]23-24 RW Catskills Monthly '!C24+'[4]del Lago Monthly FY 23-24'!C24+'[1]23-24 Tioga Monthly'!C24+'[2]23-24 Rivers Monthly'!C24</f>
        <v>499188690.75999999</v>
      </c>
      <c r="D25" s="46">
        <f>+'[3]23-24 RW Catskills Monthly '!D24+'[4]del Lago Monthly FY 23-24'!D24+'[1]23-24 Tioga Monthly'!D24+'[2]23-24 Rivers Monthly'!D24</f>
        <v>6589116.0200000005</v>
      </c>
      <c r="E25" s="46">
        <f>+'[3]23-24 RW Catskills Monthly '!E24+'[4]del Lago Monthly FY 23-24'!E24+'[1]23-24 Tioga Monthly'!E24+'[2]23-24 Rivers Monthly'!E24</f>
        <v>453489320.79999995</v>
      </c>
      <c r="F25" s="46">
        <f>+'[3]23-24 RW Catskills Monthly '!F24+'[4]del Lago Monthly FY 23-24'!F24+'[1]23-24 Tioga Monthly'!F24+'[2]23-24 Rivers Monthly'!F24</f>
        <v>39110253.93999999</v>
      </c>
      <c r="G25" s="46">
        <f>+'[3]23-24 RW Catskills Monthly '!G24+'[4]del Lago Monthly FY 23-24'!G24+'[1]23-24 Tioga Monthly'!G24+'[2]23-24 Rivers Monthly'!G24</f>
        <v>0</v>
      </c>
      <c r="H25" s="47">
        <f>+'[3]23-24 RW Catskills Monthly '!H24+'[4]del Lago Monthly FY 23-24'!H24+'[1]23-24 Tioga Monthly'!H24+'[2]23-24 Rivers Monthly'!H24</f>
        <v>5244</v>
      </c>
      <c r="I25" s="46">
        <f>+F25/H25/29</f>
        <v>257.17571437965222</v>
      </c>
      <c r="J25" s="48"/>
      <c r="K25" s="48"/>
      <c r="L25" s="49">
        <f>+'[3]23-24 RW Catskills Monthly '!L24+'[4]del Lago Monthly FY 23-24'!L24+'[1]23-24 Tioga Monthly'!L24+'[2]23-24 Rivers Monthly'!L24</f>
        <v>290</v>
      </c>
      <c r="M25" s="53">
        <f>+'[3]23-24 RW Catskills Monthly '!M24+'[4]del Lago Monthly FY 23-24'!M24+'[1]23-24 Tioga Monthly'!M24+'[2]23-24 Rivers Monthly'!M24</f>
        <v>76092427.5</v>
      </c>
      <c r="N25" s="53">
        <f>+'[3]23-24 RW Catskills Monthly '!N24+'[4]del Lago Monthly FY 23-24'!N24+'[1]23-24 Tioga Monthly'!N24+'[2]23-24 Rivers Monthly'!N24</f>
        <v>1192355</v>
      </c>
      <c r="O25" s="53">
        <f>+'[3]23-24 RW Catskills Monthly '!O24+'[4]del Lago Monthly FY 23-24'!O24+'[1]23-24 Tioga Monthly'!O24+'[2]23-24 Rivers Monthly'!O24</f>
        <v>15283916.559999999</v>
      </c>
      <c r="P25" s="49"/>
      <c r="Q25" s="49">
        <f>+'[3]23-24 RW Catskills Monthly '!Q24+'[4]del Lago Monthly FY 23-24'!Q24+'[1]23-24 Tioga Monthly'!Q24+'[2]23-24 Rivers Monthly'!Q24</f>
        <v>55</v>
      </c>
      <c r="R25" s="53">
        <f>+'[3]23-24 RW Catskills Monthly '!R24+'[4]del Lago Monthly FY 23-24'!R24+'[1]23-24 Tioga Monthly'!R24+'[2]23-24 Rivers Monthly'!R24</f>
        <v>973414</v>
      </c>
      <c r="S25" s="49"/>
      <c r="T25" s="53">
        <f>+'[3]23-24 RW Catskills Monthly '!T24+'[4]del Lago Monthly FY 23-24'!T24+'[1]23-24 Tioga Monthly'!T24+'[2]23-24 Rivers Monthly'!T24</f>
        <v>5769160.1699999999</v>
      </c>
      <c r="U25" s="53">
        <f>+'[3]23-24 RW Catskills Monthly '!U24+'[4]del Lago Monthly FY 23-24'!U24+'[1]23-24 Tioga Monthly'!U24+'[2]23-24 Rivers Monthly'!U24</f>
        <v>-111774.47999999998</v>
      </c>
      <c r="V25"/>
      <c r="W25" s="46">
        <f>F25+O25+R25+U25</f>
        <v>55255810.019999988</v>
      </c>
      <c r="X25" s="48">
        <f>+'[1]23-24 Tioga Monthly'!C46+'[2]23-24 Rivers Monthly'!C46+'[3]23-24 RW Catskills Monthly '!C46+'[4]del Lago Monthly FY 23-24'!C46</f>
        <v>41908178.229999989</v>
      </c>
      <c r="Y25" s="48">
        <f>+'[1]23-24 Tioga Monthly'!D46+'[2]23-24 Rivers Monthly'!D46+'[3]23-24 RW Catskills Monthly '!D46+'[4]del Lago Monthly FY 23-24'!D46</f>
        <v>13347631.789999995</v>
      </c>
      <c r="Z25" s="46">
        <f>+'[3]23-24 RW Catskills Monthly '!E46+'[4]del Lago Monthly FY 23-24'!E46+'[1]23-24 Tioga Monthly'!E46+'[2]23-24 Rivers Monthly'!E46</f>
        <v>76440.53</v>
      </c>
      <c r="AA25" s="46">
        <f>+'[3]23-24 RW Catskills Monthly '!F46+'[4]del Lago Monthly FY 23-24'!F46+'[1]23-24 Tioga Monthly'!F46+'[2]23-24 Rivers Monthly'!F46</f>
        <v>23566.6</v>
      </c>
    </row>
    <row r="26" spans="1:27" x14ac:dyDescent="0.25">
      <c r="A26" s="4">
        <v>45352</v>
      </c>
      <c r="C26" s="46">
        <f>+'[3]23-24 RW Catskills Monthly '!C25+'[4]del Lago Monthly FY 23-24'!C25+'[1]23-24 Tioga Monthly'!C25+'[2]23-24 Rivers Monthly'!C25</f>
        <v>556061793.48000002</v>
      </c>
      <c r="D26" s="46">
        <f>+'[3]23-24 RW Catskills Monthly '!D25+'[4]del Lago Monthly FY 23-24'!D25+'[1]23-24 Tioga Monthly'!D25+'[2]23-24 Rivers Monthly'!D25</f>
        <v>7102254.4299999997</v>
      </c>
      <c r="E26" s="46">
        <f>+'[3]23-24 RW Catskills Monthly '!E25+'[4]del Lago Monthly FY 23-24'!E25+'[1]23-24 Tioga Monthly'!E25+'[2]23-24 Rivers Monthly'!E25</f>
        <v>505435391.26999998</v>
      </c>
      <c r="F26" s="46">
        <f>+'[3]23-24 RW Catskills Monthly '!F25+'[4]del Lago Monthly FY 23-24'!F25+'[1]23-24 Tioga Monthly'!F25+'[2]23-24 Rivers Monthly'!F25</f>
        <v>43524147.779999986</v>
      </c>
      <c r="G26" s="46">
        <f>+'[3]23-24 RW Catskills Monthly '!G25+'[4]del Lago Monthly FY 23-24'!G25+'[1]23-24 Tioga Monthly'!G25+'[2]23-24 Rivers Monthly'!G25</f>
        <v>0</v>
      </c>
      <c r="H26" s="47">
        <f>+'[3]23-24 RW Catskills Monthly '!H25+'[4]del Lago Monthly FY 23-24'!H25+'[1]23-24 Tioga Monthly'!H25+'[2]23-24 Rivers Monthly'!H25</f>
        <v>5244</v>
      </c>
      <c r="I26" s="46">
        <f>+F26/H26/31</f>
        <v>267.73546283309952</v>
      </c>
      <c r="J26" s="48"/>
      <c r="K26" s="48"/>
      <c r="L26" s="49">
        <f>+'[3]23-24 RW Catskills Monthly '!L25+'[4]del Lago Monthly FY 23-24'!L25+'[1]23-24 Tioga Monthly'!L25+'[2]23-24 Rivers Monthly'!L25</f>
        <v>290</v>
      </c>
      <c r="M26" s="53">
        <f>+'[3]23-24 RW Catskills Monthly '!M25+'[4]del Lago Monthly FY 23-24'!M25+'[1]23-24 Tioga Monthly'!M25+'[2]23-24 Rivers Monthly'!M25</f>
        <v>84554785</v>
      </c>
      <c r="N26" s="53">
        <f>+'[3]23-24 RW Catskills Monthly '!N25+'[4]del Lago Monthly FY 23-24'!N25+'[1]23-24 Tioga Monthly'!N25+'[2]23-24 Rivers Monthly'!N25</f>
        <v>1178940</v>
      </c>
      <c r="O26" s="53">
        <f>+'[3]23-24 RW Catskills Monthly '!O25+'[4]del Lago Monthly FY 23-24'!O25+'[1]23-24 Tioga Monthly'!O25+'[2]23-24 Rivers Monthly'!O25</f>
        <v>16491741.77</v>
      </c>
      <c r="P26" s="49"/>
      <c r="Q26" s="49">
        <f>+'[3]23-24 RW Catskills Monthly '!Q25+'[4]del Lago Monthly FY 23-24'!Q25+'[1]23-24 Tioga Monthly'!Q25+'[2]23-24 Rivers Monthly'!Q25</f>
        <v>55</v>
      </c>
      <c r="R26" s="53">
        <f>+'[3]23-24 RW Catskills Monthly '!R25+'[4]del Lago Monthly FY 23-24'!R25+'[1]23-24 Tioga Monthly'!R25+'[2]23-24 Rivers Monthly'!R25</f>
        <v>1048530</v>
      </c>
      <c r="S26" s="49"/>
      <c r="T26" s="53">
        <f>+'[3]23-24 RW Catskills Monthly '!T25+'[4]del Lago Monthly FY 23-24'!T25+'[1]23-24 Tioga Monthly'!T25+'[2]23-24 Rivers Monthly'!T25</f>
        <v>5593788.6699999999</v>
      </c>
      <c r="U26" s="53">
        <f>+'[3]23-24 RW Catskills Monthly '!U25+'[4]del Lago Monthly FY 23-24'!U25+'[1]23-24 Tioga Monthly'!U25+'[2]23-24 Rivers Monthly'!U25</f>
        <v>874278.9800000001</v>
      </c>
      <c r="V26"/>
      <c r="W26" s="46">
        <f t="shared" si="0"/>
        <v>61938698.529999979</v>
      </c>
      <c r="X26" s="48">
        <f>+'[1]23-24 Tioga Monthly'!C47+'[2]23-24 Rivers Monthly'!C47+'[3]23-24 RW Catskills Monthly '!C47+'[4]del Lago Monthly FY 23-24'!C47</f>
        <v>47039999.120999992</v>
      </c>
      <c r="Y26" s="48">
        <f>+'[1]23-24 Tioga Monthly'!D47+'[2]23-24 Rivers Monthly'!D47+'[3]23-24 RW Catskills Monthly '!D47+'[4]del Lago Monthly FY 23-24'!D47</f>
        <v>14898699.408999996</v>
      </c>
      <c r="Z26" s="46">
        <f>+'[3]23-24 RW Catskills Monthly '!E47+'[4]del Lago Monthly FY 23-24'!E47+'[1]23-24 Tioga Monthly'!E47+'[2]23-24 Rivers Monthly'!E47</f>
        <v>53533.48</v>
      </c>
      <c r="AA26" s="46">
        <f>+'[3]23-24 RW Catskills Monthly '!F47+'[4]del Lago Monthly FY 23-24'!F47+'[1]23-24 Tioga Monthly'!F47+'[2]23-24 Rivers Monthly'!F47</f>
        <v>10000</v>
      </c>
    </row>
    <row r="27" spans="1:27" ht="15.75" thickBot="1" x14ac:dyDescent="0.3">
      <c r="A27" s="4" t="s">
        <v>22</v>
      </c>
      <c r="C27" s="50">
        <f>SUM(C15:C26)</f>
        <v>6111571048.7299995</v>
      </c>
      <c r="D27" s="50">
        <f t="shared" ref="D27:E27" si="2">SUM(D15:D26)</f>
        <v>79090071.919999987</v>
      </c>
      <c r="E27" s="50">
        <f t="shared" si="2"/>
        <v>5559691061.8400002</v>
      </c>
      <c r="F27" s="50">
        <f>SUM(F15:F26)</f>
        <v>472789914.97000003</v>
      </c>
      <c r="G27" s="50"/>
      <c r="H27" s="51">
        <f>+'[2]23-24 Rivers Monthly'!$H$26+'[1]23-24 Tioga Monthly'!$H$26+'[4]del Lago Monthly FY 23-24'!$H$26+'[3]23-24 RW Catskills Monthly '!$H$26</f>
        <v>5219.22</v>
      </c>
      <c r="I27" s="52">
        <f>+F27/H27/366</f>
        <v>247.50359708189131</v>
      </c>
      <c r="J27" s="48"/>
      <c r="K27" s="46"/>
      <c r="L27" s="51">
        <f>+'[3]23-24 RW Catskills Monthly '!$L$26+'[4]del Lago Monthly FY 23-24'!$L$26+'[1]23-24 Tioga Monthly'!$L$26+'[2]23-24 Rivers Monthly'!$L$26</f>
        <v>298.8736559139785</v>
      </c>
      <c r="M27" s="50">
        <f>SUM(M15:M26)</f>
        <v>940149603.0999999</v>
      </c>
      <c r="N27" s="50">
        <f t="shared" ref="N27:O27" si="3">SUM(N15:N26)</f>
        <v>9373925</v>
      </c>
      <c r="O27" s="50">
        <f t="shared" si="3"/>
        <v>188003801.47000003</v>
      </c>
      <c r="P27" s="46"/>
      <c r="Q27" s="51">
        <f>+'[2]23-24 Rivers Monthly'!$Q$26+'[1]23-24 Tioga Monthly'!$Q$26+'[4]del Lago Monthly FY 23-24'!$Q$14+'[3]23-24 RW Catskills Monthly '!$Q$14</f>
        <v>55</v>
      </c>
      <c r="R27" s="50">
        <f>SUM(R15:R26)</f>
        <v>11753517</v>
      </c>
      <c r="S27" s="46"/>
      <c r="T27" s="50">
        <f>SUM(T15:T26)</f>
        <v>90253985.830000013</v>
      </c>
      <c r="U27" s="50">
        <f>SUM(U15:U26)</f>
        <v>6975429.5800000001</v>
      </c>
      <c r="V27" s="46"/>
      <c r="W27" s="50">
        <f>SUM(W15:W26)</f>
        <v>679522663.01999986</v>
      </c>
      <c r="X27" s="29">
        <f>SUM(X15:X26)</f>
        <v>517012413.72400004</v>
      </c>
      <c r="Y27" s="29">
        <f>SUM(Y15:Y26)</f>
        <v>162510249.296</v>
      </c>
      <c r="Z27" s="29">
        <f>SUM(Z15:Z26)</f>
        <v>848038.73</v>
      </c>
      <c r="AA27" s="45">
        <f t="shared" ref="AA27" si="4">SUM(AA15:AA26)</f>
        <v>71211.31</v>
      </c>
    </row>
    <row r="28" spans="1:27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X28" s="30"/>
      <c r="Y28" s="33"/>
      <c r="Z28" s="33"/>
      <c r="AA28" s="33"/>
    </row>
    <row r="29" spans="1:27" s="35" customFormat="1" x14ac:dyDescent="0.25">
      <c r="A29" s="32"/>
      <c r="B29" s="32"/>
      <c r="C29" s="33"/>
      <c r="D29" s="34">
        <f>D27/$C$27</f>
        <v>1.2941037793618567E-2</v>
      </c>
      <c r="E29" s="34">
        <f>E27/$C$27</f>
        <v>0.9096991620502094</v>
      </c>
      <c r="F29" s="34">
        <f>F27/$C$27</f>
        <v>7.7359800156172123E-2</v>
      </c>
      <c r="G29" s="34"/>
      <c r="H29" s="33"/>
      <c r="L29" s="33"/>
      <c r="M29" s="33"/>
      <c r="N29" s="33"/>
      <c r="O29" s="33">
        <f>O27/$M$27</f>
        <v>0.19997221809176557</v>
      </c>
      <c r="P29" s="33"/>
      <c r="Q29" s="33"/>
      <c r="R29" s="33"/>
      <c r="X29" s="33">
        <f>X27/$W$27</f>
        <v>0.76084646158267011</v>
      </c>
      <c r="Y29" s="33">
        <f>Y27/$W$27</f>
        <v>0.23915353841733011</v>
      </c>
      <c r="Z29" s="33"/>
      <c r="AA29" s="33"/>
    </row>
    <row r="30" spans="1:27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7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51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39" t="s">
        <v>45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 t="s">
        <v>47</v>
      </c>
    </row>
  </sheetData>
  <mergeCells count="15">
    <mergeCell ref="A9:AA9"/>
    <mergeCell ref="A1:AA1"/>
    <mergeCell ref="A2:AA2"/>
    <mergeCell ref="A3:AA3"/>
    <mergeCell ref="A4:AA4"/>
    <mergeCell ref="A5:AA5"/>
    <mergeCell ref="A6:AA6"/>
    <mergeCell ref="A39:AA39"/>
    <mergeCell ref="A35:AA35"/>
    <mergeCell ref="C11:I11"/>
    <mergeCell ref="L11:O11"/>
    <mergeCell ref="Q11:R11"/>
    <mergeCell ref="T11:U11"/>
    <mergeCell ref="A31:AA31"/>
    <mergeCell ref="W11:AA11"/>
  </mergeCells>
  <conditionalFormatting sqref="C15:W26">
    <cfRule type="cellIs" dxfId="15" priority="7" operator="equal">
      <formula>0</formula>
    </cfRule>
  </conditionalFormatting>
  <conditionalFormatting sqref="X24:Z26">
    <cfRule type="cellIs" dxfId="14" priority="2" operator="equal">
      <formula>0</formula>
    </cfRule>
  </conditionalFormatting>
  <conditionalFormatting sqref="AA25:AA26">
    <cfRule type="cellIs" dxfId="13" priority="1" operator="equal">
      <formula>0</formula>
    </cfRule>
  </conditionalFormatting>
  <hyperlinks>
    <hyperlink ref="A5" r:id="rId1" xr:uid="{C904B160-5533-4E44-AC78-731AFFB6F41E}"/>
  </hyperlinks>
  <printOptions horizontalCentered="1" verticalCentered="1"/>
  <pageMargins left="0.25" right="0.25" top="0.75" bottom="0.75" header="0.3" footer="0.3"/>
  <pageSetup scale="52" fitToHeight="0" orientation="landscape" r:id="rId2"/>
  <ignoredErrors>
    <ignoredError sqref="I17 I20:I22 I25" formula="1"/>
  </ignoredError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43B3-8D41-4DA5-A24C-D881746F27AD}">
  <sheetPr>
    <pageSetUpPr fitToPage="1"/>
  </sheetPr>
  <dimension ref="A1:AA45"/>
  <sheetViews>
    <sheetView topLeftCell="A15" zoomScaleNormal="100" workbookViewId="0">
      <selection activeCell="A40" sqref="A4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4.570312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7.28515625" style="28" customWidth="1"/>
    <col min="13" max="13" width="12.7109375" style="28" customWidth="1"/>
    <col min="14" max="14" width="11.570312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4.28515625" style="1" customWidth="1"/>
    <col min="21" max="21" width="12.140625" style="1" customWidth="1"/>
    <col min="22" max="22" width="2" style="1" customWidth="1"/>
    <col min="23" max="23" width="14.28515625" style="1" customWidth="1"/>
    <col min="24" max="24" width="12.85546875" style="1" bestFit="1" customWidth="1"/>
    <col min="25" max="25" width="14" style="1" bestFit="1" customWidth="1"/>
    <col min="26" max="26" width="10.85546875" style="1" bestFit="1" customWidth="1"/>
    <col min="27" max="27" width="15.140625" style="1" bestFit="1" customWidth="1"/>
    <col min="28" max="257" width="9.14062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9.14062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9.14062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9.14062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9.14062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9.14062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9.14062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9.14062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9.14062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9.14062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9.14062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9.14062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9.14062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9.14062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9.14062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9.14062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9.14062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9.14062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9.14062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9.14062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9.14062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9.14062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9.14062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9.14062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9.14062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9.14062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9.14062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9.14062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9.14062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9.14062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9.14062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9.14062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9.14062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9.14062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9.14062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9.14062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9.14062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9.14062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9.14062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9.14062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9.14062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9.14062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9.14062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9.14062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9.14062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9.14062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9.14062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9.14062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9.14062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9.14062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9.14062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9.14062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9.14062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9.14062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9.14062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9.14062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9.14062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9.14062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9.14062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9.14062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9.14062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9.14062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9.14062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9.140625" style="1"/>
  </cols>
  <sheetData>
    <row r="1" spans="1:27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7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7" s="8" customFormat="1" ht="14.25" customHeight="1" x14ac:dyDescent="0.25">
      <c r="A9" s="67" t="s">
        <v>52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7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T11" s="74" t="s">
        <v>32</v>
      </c>
      <c r="U11" s="75"/>
      <c r="W11" s="76" t="s">
        <v>50</v>
      </c>
      <c r="X11" s="77"/>
      <c r="Y11" s="77"/>
      <c r="Z11" s="77"/>
      <c r="AA11" s="78"/>
    </row>
    <row r="12" spans="1:27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U12" s="21" t="s">
        <v>33</v>
      </c>
      <c r="W12" s="16" t="s">
        <v>4</v>
      </c>
      <c r="X12" s="36"/>
      <c r="Y12" s="36"/>
      <c r="Z12" s="36"/>
      <c r="AA12" s="36" t="s">
        <v>23</v>
      </c>
    </row>
    <row r="13" spans="1:27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U13" s="21" t="s">
        <v>34</v>
      </c>
      <c r="W13" s="16" t="s">
        <v>4</v>
      </c>
      <c r="X13" s="16" t="s">
        <v>24</v>
      </c>
      <c r="Y13" s="36" t="s">
        <v>4</v>
      </c>
      <c r="Z13" s="36" t="s">
        <v>25</v>
      </c>
      <c r="AA13" s="36" t="s">
        <v>26</v>
      </c>
    </row>
    <row r="14" spans="1:27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35</v>
      </c>
      <c r="U14" s="43" t="s">
        <v>16</v>
      </c>
      <c r="W14" s="23" t="s">
        <v>21</v>
      </c>
      <c r="X14" s="23" t="s">
        <v>27</v>
      </c>
      <c r="Y14" s="37" t="s">
        <v>28</v>
      </c>
      <c r="Z14" s="37" t="s">
        <v>29</v>
      </c>
      <c r="AA14" s="37" t="s">
        <v>30</v>
      </c>
    </row>
    <row r="15" spans="1:27" x14ac:dyDescent="0.25">
      <c r="A15" s="4">
        <v>44652</v>
      </c>
      <c r="C15" s="46">
        <v>546221452.31000006</v>
      </c>
      <c r="D15" s="46">
        <v>6424333.9199999999</v>
      </c>
      <c r="E15" s="46">
        <v>496609936.91999996</v>
      </c>
      <c r="F15" s="46">
        <v>43187181.470000006</v>
      </c>
      <c r="G15" s="46">
        <v>0</v>
      </c>
      <c r="H15" s="49">
        <v>5256</v>
      </c>
      <c r="I15" s="46">
        <v>273.94342829051698</v>
      </c>
      <c r="J15" s="48"/>
      <c r="K15" s="48"/>
      <c r="L15" s="49">
        <v>310</v>
      </c>
      <c r="M15" s="53">
        <v>84676619</v>
      </c>
      <c r="N15" s="53">
        <v>470245</v>
      </c>
      <c r="O15" s="53">
        <v>16874234.34</v>
      </c>
      <c r="P15" s="49"/>
      <c r="Q15" s="49">
        <v>55</v>
      </c>
      <c r="R15" s="53">
        <v>1067735</v>
      </c>
      <c r="S15" s="49"/>
      <c r="T15" s="53">
        <v>6014066.2799999993</v>
      </c>
      <c r="U15" s="53">
        <v>394272.86999999994</v>
      </c>
      <c r="V15"/>
      <c r="W15" s="46">
        <v>61523423.68</v>
      </c>
      <c r="X15" s="30">
        <v>46356278.438449994</v>
      </c>
      <c r="Y15" s="30">
        <v>15167145.241550002</v>
      </c>
      <c r="Z15" s="30">
        <v>93351</v>
      </c>
      <c r="AA15" s="30">
        <v>0</v>
      </c>
    </row>
    <row r="16" spans="1:27" x14ac:dyDescent="0.25">
      <c r="A16" s="4">
        <f>+A15+31</f>
        <v>44683</v>
      </c>
      <c r="C16" s="46">
        <v>524374997.38</v>
      </c>
      <c r="D16" s="46">
        <v>6212594.0499999998</v>
      </c>
      <c r="E16" s="46">
        <v>477419529.88999999</v>
      </c>
      <c r="F16" s="46">
        <v>40742873.440000005</v>
      </c>
      <c r="G16" s="46">
        <v>0</v>
      </c>
      <c r="H16" s="49">
        <v>5249</v>
      </c>
      <c r="I16" s="46">
        <v>250.38792912935801</v>
      </c>
      <c r="J16" s="48"/>
      <c r="K16" s="48"/>
      <c r="L16" s="49">
        <v>310</v>
      </c>
      <c r="M16" s="53">
        <v>75815643.5</v>
      </c>
      <c r="N16" s="53">
        <v>360700</v>
      </c>
      <c r="O16" s="53">
        <v>15108266.32</v>
      </c>
      <c r="P16" s="49"/>
      <c r="Q16" s="49">
        <v>55</v>
      </c>
      <c r="R16" s="53">
        <v>891643</v>
      </c>
      <c r="S16" s="49"/>
      <c r="T16" s="53">
        <v>6378095.3700000001</v>
      </c>
      <c r="U16" s="53">
        <v>629230.32999999996</v>
      </c>
      <c r="V16"/>
      <c r="W16" s="46">
        <v>57372013.090000004</v>
      </c>
      <c r="X16" s="30">
        <v>43148799.449500002</v>
      </c>
      <c r="Y16" s="30">
        <v>14223213.6405</v>
      </c>
      <c r="Z16" s="30">
        <v>63495.479999999996</v>
      </c>
      <c r="AA16" s="30">
        <v>0</v>
      </c>
    </row>
    <row r="17" spans="1:27" x14ac:dyDescent="0.25">
      <c r="A17" s="4">
        <f t="shared" ref="A17:A26" si="0">+A16+31</f>
        <v>44714</v>
      </c>
      <c r="C17" s="46">
        <v>517278451.69999999</v>
      </c>
      <c r="D17" s="46">
        <v>6131616.0700000003</v>
      </c>
      <c r="E17" s="46">
        <v>470629275.26999998</v>
      </c>
      <c r="F17" s="46">
        <v>40517560.359999999</v>
      </c>
      <c r="G17" s="46">
        <v>0</v>
      </c>
      <c r="H17" s="49">
        <v>5244</v>
      </c>
      <c r="I17" s="46">
        <v>257.54869285532669</v>
      </c>
      <c r="J17" s="48"/>
      <c r="K17" s="48"/>
      <c r="L17" s="49">
        <v>310</v>
      </c>
      <c r="M17" s="53">
        <v>73450037.75</v>
      </c>
      <c r="N17" s="53">
        <v>399895</v>
      </c>
      <c r="O17" s="53">
        <v>14473382.52</v>
      </c>
      <c r="P17" s="49"/>
      <c r="Q17" s="49">
        <v>55</v>
      </c>
      <c r="R17" s="53">
        <v>936249</v>
      </c>
      <c r="S17" s="49"/>
      <c r="T17" s="53">
        <v>5069291.4399999995</v>
      </c>
      <c r="U17" s="53">
        <v>20636.770000000019</v>
      </c>
      <c r="V17"/>
      <c r="W17" s="46">
        <v>55947828.649999999</v>
      </c>
      <c r="X17" s="30">
        <v>41916070.125699997</v>
      </c>
      <c r="Y17" s="30">
        <v>14031758.524299998</v>
      </c>
      <c r="Z17" s="30">
        <v>116305.06</v>
      </c>
      <c r="AA17" s="30">
        <v>49520</v>
      </c>
    </row>
    <row r="18" spans="1:27" x14ac:dyDescent="0.25">
      <c r="A18" s="4">
        <f t="shared" si="0"/>
        <v>44745</v>
      </c>
      <c r="C18" s="46">
        <v>569986848.41000009</v>
      </c>
      <c r="D18" s="46">
        <v>6589550.3200000003</v>
      </c>
      <c r="E18" s="46">
        <v>518451098.81999993</v>
      </c>
      <c r="F18" s="46">
        <v>44946199.269999996</v>
      </c>
      <c r="G18" s="46">
        <v>0</v>
      </c>
      <c r="H18" s="49">
        <v>5214</v>
      </c>
      <c r="I18" s="46">
        <v>278.07391557469344</v>
      </c>
      <c r="J18" s="48"/>
      <c r="K18" s="48"/>
      <c r="L18" s="49">
        <v>310</v>
      </c>
      <c r="M18" s="53">
        <v>82635712.5</v>
      </c>
      <c r="N18" s="53">
        <v>475570</v>
      </c>
      <c r="O18" s="53">
        <v>15971333.690000001</v>
      </c>
      <c r="P18" s="49"/>
      <c r="Q18" s="49">
        <v>55</v>
      </c>
      <c r="R18" s="53">
        <v>1140963</v>
      </c>
      <c r="S18" s="49"/>
      <c r="T18" s="53">
        <v>4213368.57</v>
      </c>
      <c r="U18" s="53">
        <v>559186.82000000007</v>
      </c>
      <c r="V18"/>
      <c r="W18" s="46">
        <v>62617682.779999994</v>
      </c>
      <c r="X18" s="30">
        <v>46994282.219950005</v>
      </c>
      <c r="Y18" s="30">
        <v>15623400.56005</v>
      </c>
      <c r="Z18" s="30">
        <v>96971.65</v>
      </c>
      <c r="AA18" s="30">
        <v>105000</v>
      </c>
    </row>
    <row r="19" spans="1:27" x14ac:dyDescent="0.25">
      <c r="A19" s="4">
        <f t="shared" si="0"/>
        <v>44776</v>
      </c>
      <c r="C19" s="46">
        <v>536221195.87000006</v>
      </c>
      <c r="D19" s="46">
        <v>6283952.9000000004</v>
      </c>
      <c r="E19" s="46">
        <v>487467853.78000003</v>
      </c>
      <c r="F19" s="46">
        <v>42469389.189999998</v>
      </c>
      <c r="G19" s="46">
        <v>0</v>
      </c>
      <c r="H19" s="49">
        <v>5214</v>
      </c>
      <c r="I19" s="46">
        <v>262.75034454384593</v>
      </c>
      <c r="J19" s="48"/>
      <c r="K19" s="48"/>
      <c r="L19" s="49">
        <v>310.25806451612902</v>
      </c>
      <c r="M19" s="53">
        <v>87530119</v>
      </c>
      <c r="N19" s="53">
        <v>486880</v>
      </c>
      <c r="O19" s="53">
        <v>15848592.76</v>
      </c>
      <c r="P19" s="49"/>
      <c r="Q19" s="49">
        <v>55</v>
      </c>
      <c r="R19" s="53">
        <v>1109159</v>
      </c>
      <c r="S19" s="49"/>
      <c r="T19" s="53">
        <v>5179282.5100000007</v>
      </c>
      <c r="U19" s="53">
        <v>1158599.2200000002</v>
      </c>
      <c r="V19"/>
      <c r="W19" s="46">
        <v>60585740.169999994</v>
      </c>
      <c r="X19" s="30">
        <v>45692348.565849997</v>
      </c>
      <c r="Y19" s="30">
        <v>14893391.604149997</v>
      </c>
      <c r="Z19" s="30">
        <v>90518.03</v>
      </c>
      <c r="AA19" s="30">
        <v>5510</v>
      </c>
    </row>
    <row r="20" spans="1:27" x14ac:dyDescent="0.25">
      <c r="A20" s="4">
        <f t="shared" si="0"/>
        <v>44807</v>
      </c>
      <c r="C20" s="46">
        <v>527313357.27999991</v>
      </c>
      <c r="D20" s="46">
        <v>6691262.21</v>
      </c>
      <c r="E20" s="46">
        <v>479145047</v>
      </c>
      <c r="F20" s="46">
        <v>41477048.069999993</v>
      </c>
      <c r="G20" s="46">
        <v>0</v>
      </c>
      <c r="H20" s="49">
        <v>5214</v>
      </c>
      <c r="I20" s="46">
        <v>265.16460855389334</v>
      </c>
      <c r="J20" s="48"/>
      <c r="K20" s="48"/>
      <c r="L20" s="49">
        <v>311</v>
      </c>
      <c r="M20" s="53">
        <v>82947865.25</v>
      </c>
      <c r="N20" s="53">
        <v>473270</v>
      </c>
      <c r="O20" s="53">
        <v>17520108.949999999</v>
      </c>
      <c r="P20" s="49"/>
      <c r="Q20" s="49">
        <v>55</v>
      </c>
      <c r="R20" s="53">
        <v>1002407</v>
      </c>
      <c r="S20" s="49"/>
      <c r="T20" s="53">
        <v>8849587.3399999999</v>
      </c>
      <c r="U20" s="53">
        <v>1706977.85</v>
      </c>
      <c r="V20"/>
      <c r="W20" s="46">
        <v>61706541.869999997</v>
      </c>
      <c r="X20" s="30">
        <v>46905329.517449997</v>
      </c>
      <c r="Y20" s="30">
        <v>14801212.352549998</v>
      </c>
      <c r="Z20" s="30">
        <v>115439.87999999999</v>
      </c>
      <c r="AA20" s="54">
        <v>-1557.29</v>
      </c>
    </row>
    <row r="21" spans="1:27" x14ac:dyDescent="0.25">
      <c r="A21" s="4">
        <f t="shared" si="0"/>
        <v>44838</v>
      </c>
      <c r="C21" s="46">
        <v>536806201.77999991</v>
      </c>
      <c r="D21" s="46">
        <v>6926558.46</v>
      </c>
      <c r="E21" s="46">
        <v>489288443.27999997</v>
      </c>
      <c r="F21" s="46">
        <v>40591200.039999992</v>
      </c>
      <c r="G21" s="46">
        <v>0</v>
      </c>
      <c r="H21" s="49">
        <v>5214</v>
      </c>
      <c r="I21" s="46">
        <v>251.13033173713447</v>
      </c>
      <c r="J21" s="48"/>
      <c r="K21" s="48"/>
      <c r="L21" s="49">
        <v>311</v>
      </c>
      <c r="M21" s="53">
        <v>81138735</v>
      </c>
      <c r="N21" s="53">
        <v>446630</v>
      </c>
      <c r="O21" s="53">
        <v>17572428.920000002</v>
      </c>
      <c r="P21" s="49"/>
      <c r="Q21" s="49">
        <v>55</v>
      </c>
      <c r="R21" s="53">
        <v>1025188</v>
      </c>
      <c r="S21" s="49"/>
      <c r="T21" s="53">
        <v>11261981.560000001</v>
      </c>
      <c r="U21" s="53">
        <v>1191218.1300000001</v>
      </c>
      <c r="V21"/>
      <c r="W21" s="46">
        <v>60380035.089999996</v>
      </c>
      <c r="X21" s="30">
        <v>45885356.792949997</v>
      </c>
      <c r="Y21" s="30">
        <v>14494678.297049996</v>
      </c>
      <c r="Z21" s="30">
        <v>138085.51999999999</v>
      </c>
      <c r="AA21" s="54">
        <v>-2443.8000000000002</v>
      </c>
    </row>
    <row r="22" spans="1:27" x14ac:dyDescent="0.25">
      <c r="A22" s="4">
        <f t="shared" si="0"/>
        <v>44869</v>
      </c>
      <c r="C22" s="46">
        <v>493540209</v>
      </c>
      <c r="D22" s="46">
        <v>6118559.2599999998</v>
      </c>
      <c r="E22" s="46">
        <v>449211398.95000005</v>
      </c>
      <c r="F22" s="46">
        <v>38210250.799999997</v>
      </c>
      <c r="G22" s="46">
        <v>0</v>
      </c>
      <c r="H22" s="49">
        <v>5214</v>
      </c>
      <c r="I22" s="46">
        <v>244.27982866641094</v>
      </c>
      <c r="J22" s="48"/>
      <c r="K22" s="48"/>
      <c r="L22" s="49">
        <v>311</v>
      </c>
      <c r="M22" s="53">
        <v>78667587.25</v>
      </c>
      <c r="N22" s="53">
        <v>622615</v>
      </c>
      <c r="O22" s="53">
        <v>18841522.390000001</v>
      </c>
      <c r="P22" s="49"/>
      <c r="Q22" s="49">
        <v>55</v>
      </c>
      <c r="R22" s="53">
        <v>952750</v>
      </c>
      <c r="S22" s="49"/>
      <c r="T22" s="53">
        <v>10283689.84</v>
      </c>
      <c r="U22" s="53">
        <v>1023068.74</v>
      </c>
      <c r="V22"/>
      <c r="W22" s="46">
        <v>59027591.93</v>
      </c>
      <c r="X22" s="30">
        <v>45169613.613049999</v>
      </c>
      <c r="Y22" s="30">
        <v>13857978.316949999</v>
      </c>
      <c r="Z22" s="30">
        <v>167620.51</v>
      </c>
      <c r="AA22" s="30">
        <v>0</v>
      </c>
    </row>
    <row r="23" spans="1:27" x14ac:dyDescent="0.25">
      <c r="A23" s="4">
        <f t="shared" si="0"/>
        <v>44900</v>
      </c>
      <c r="C23" s="46">
        <v>482785036.26999998</v>
      </c>
      <c r="D23" s="46">
        <v>5839719.3700000001</v>
      </c>
      <c r="E23" s="46">
        <v>439208140.22000003</v>
      </c>
      <c r="F23" s="46">
        <v>37737176.680000007</v>
      </c>
      <c r="G23" s="46">
        <v>0</v>
      </c>
      <c r="H23" s="49">
        <v>5217.2903225806449</v>
      </c>
      <c r="I23" s="46">
        <v>233.32576964930507</v>
      </c>
      <c r="J23" s="48"/>
      <c r="K23" s="48"/>
      <c r="L23" s="49">
        <v>311</v>
      </c>
      <c r="M23" s="53">
        <v>76692525.5</v>
      </c>
      <c r="N23" s="53">
        <v>512225</v>
      </c>
      <c r="O23" s="53">
        <v>16499856.639999999</v>
      </c>
      <c r="P23" s="49"/>
      <c r="Q23" s="49">
        <v>54.806451612903224</v>
      </c>
      <c r="R23" s="53">
        <v>976074</v>
      </c>
      <c r="S23" s="49"/>
      <c r="T23" s="53">
        <v>8682507.1500000004</v>
      </c>
      <c r="U23" s="53">
        <v>1199664.6199999996</v>
      </c>
      <c r="V23"/>
      <c r="W23" s="46">
        <v>56412771.940000005</v>
      </c>
      <c r="X23" s="30">
        <v>42915985.96345</v>
      </c>
      <c r="Y23" s="30">
        <v>13496785.976549998</v>
      </c>
      <c r="Z23" s="30">
        <v>170116.72</v>
      </c>
      <c r="AA23" s="30">
        <v>0</v>
      </c>
    </row>
    <row r="24" spans="1:27" x14ac:dyDescent="0.25">
      <c r="A24" s="4">
        <f t="shared" si="0"/>
        <v>44931</v>
      </c>
      <c r="C24" s="46">
        <v>492787940.35999995</v>
      </c>
      <c r="D24" s="46">
        <v>5858109.7070000004</v>
      </c>
      <c r="E24" s="46">
        <v>448597356.75</v>
      </c>
      <c r="F24" s="46">
        <v>38332473.902999997</v>
      </c>
      <c r="G24" s="46">
        <v>0</v>
      </c>
      <c r="H24" s="49">
        <v>5245.03</v>
      </c>
      <c r="I24" s="46">
        <v>235.75297304797238</v>
      </c>
      <c r="J24" s="48"/>
      <c r="K24" s="48"/>
      <c r="L24" s="49">
        <v>311</v>
      </c>
      <c r="M24" s="53">
        <v>73096616.75</v>
      </c>
      <c r="N24" s="53">
        <v>676505</v>
      </c>
      <c r="O24" s="53">
        <v>14752606.440000001</v>
      </c>
      <c r="P24" s="49"/>
      <c r="Q24" s="49">
        <v>55</v>
      </c>
      <c r="R24" s="53">
        <v>1021265</v>
      </c>
      <c r="S24" s="49"/>
      <c r="T24" s="53">
        <v>10056910.25</v>
      </c>
      <c r="U24" s="53">
        <v>459351.38999999955</v>
      </c>
      <c r="V24"/>
      <c r="W24" s="46">
        <v>54565696.732999995</v>
      </c>
      <c r="X24" s="30">
        <v>41101252.304399997</v>
      </c>
      <c r="Y24" s="30">
        <v>13464444.428599996</v>
      </c>
      <c r="Z24" s="30">
        <v>117598.01</v>
      </c>
      <c r="AA24" s="30">
        <v>0</v>
      </c>
    </row>
    <row r="25" spans="1:27" x14ac:dyDescent="0.25">
      <c r="A25" s="4">
        <f t="shared" si="0"/>
        <v>44962</v>
      </c>
      <c r="C25" s="46">
        <v>474270827.6500001</v>
      </c>
      <c r="D25" s="46">
        <v>5734481.9099999992</v>
      </c>
      <c r="E25" s="46">
        <v>430664327.56</v>
      </c>
      <c r="F25" s="46">
        <v>37872018.179999992</v>
      </c>
      <c r="G25" s="46">
        <v>0</v>
      </c>
      <c r="H25" s="49">
        <v>5218</v>
      </c>
      <c r="I25" s="46">
        <v>259.2127401029403</v>
      </c>
      <c r="J25" s="48"/>
      <c r="K25" s="48"/>
      <c r="L25" s="49">
        <v>311</v>
      </c>
      <c r="M25" s="53">
        <v>69469475.25</v>
      </c>
      <c r="N25" s="53">
        <v>583950</v>
      </c>
      <c r="O25" s="53">
        <v>12996562.299999999</v>
      </c>
      <c r="P25" s="49"/>
      <c r="Q25" s="49">
        <v>55</v>
      </c>
      <c r="R25" s="53">
        <v>1006496</v>
      </c>
      <c r="S25" s="49"/>
      <c r="T25" s="53">
        <v>7343376.9299999997</v>
      </c>
      <c r="U25" s="53">
        <v>188895.12999999992</v>
      </c>
      <c r="V25"/>
      <c r="W25" s="46">
        <v>52063971.609999992</v>
      </c>
      <c r="X25" s="30">
        <v>38927973.43485</v>
      </c>
      <c r="Y25" s="30">
        <v>13135998.175149998</v>
      </c>
      <c r="Z25" s="30">
        <v>67108.87</v>
      </c>
      <c r="AA25" s="30">
        <v>0</v>
      </c>
    </row>
    <row r="26" spans="1:27" x14ac:dyDescent="0.25">
      <c r="A26" s="4">
        <f t="shared" si="0"/>
        <v>44993</v>
      </c>
      <c r="C26" s="46">
        <v>523881268.75000006</v>
      </c>
      <c r="D26" s="46">
        <v>6420194.4299999997</v>
      </c>
      <c r="E26" s="46">
        <v>476520786.42000002</v>
      </c>
      <c r="F26" s="46">
        <v>40940287.900000006</v>
      </c>
      <c r="G26" s="46">
        <v>0</v>
      </c>
      <c r="H26" s="49">
        <v>5218</v>
      </c>
      <c r="I26" s="46">
        <v>253.095908084917</v>
      </c>
      <c r="J26" s="48"/>
      <c r="K26" s="48"/>
      <c r="L26" s="49">
        <v>311</v>
      </c>
      <c r="M26" s="53">
        <v>78731247</v>
      </c>
      <c r="N26" s="53">
        <v>494980</v>
      </c>
      <c r="O26" s="53">
        <v>18034064.660000004</v>
      </c>
      <c r="P26" s="49"/>
      <c r="Q26" s="49">
        <v>55</v>
      </c>
      <c r="R26" s="53">
        <v>1024812</v>
      </c>
      <c r="S26" s="49"/>
      <c r="T26" s="53">
        <v>6932368.3999999994</v>
      </c>
      <c r="U26" s="53">
        <v>754536.26999999967</v>
      </c>
      <c r="V26"/>
      <c r="W26" s="46">
        <v>60753700.830000013</v>
      </c>
      <c r="X26" s="30">
        <v>46108085.995750003</v>
      </c>
      <c r="Y26" s="30">
        <v>14645614.834250001</v>
      </c>
      <c r="Z26" s="30">
        <v>75232.5</v>
      </c>
      <c r="AA26" s="30">
        <v>0</v>
      </c>
    </row>
    <row r="27" spans="1:27" ht="15.75" thickBot="1" x14ac:dyDescent="0.3">
      <c r="A27" s="4" t="s">
        <v>22</v>
      </c>
      <c r="C27" s="50">
        <f>SUM(C15:C26)</f>
        <v>6225467786.7600002</v>
      </c>
      <c r="D27" s="50">
        <f t="shared" ref="D27:E27" si="1">SUM(D15:D26)</f>
        <v>75230932.606999993</v>
      </c>
      <c r="E27" s="50">
        <f t="shared" si="1"/>
        <v>5663213194.8600006</v>
      </c>
      <c r="F27" s="50">
        <f>SUM(F15:F26)</f>
        <v>487023659.30300009</v>
      </c>
      <c r="G27" s="50"/>
      <c r="H27" s="51">
        <f>+AVERAGE(H15:H26)</f>
        <v>5226.4433602150539</v>
      </c>
      <c r="I27" s="52">
        <v>255</v>
      </c>
      <c r="J27" s="48"/>
      <c r="K27" s="46"/>
      <c r="L27" s="51">
        <f>+AVERAGE(L15:L26)</f>
        <v>310.60483870967738</v>
      </c>
      <c r="M27" s="55">
        <f>SUM(M15:M26)</f>
        <v>944852183.75</v>
      </c>
      <c r="N27" s="50">
        <f t="shared" ref="N27:O27" si="2">SUM(N15:N26)</f>
        <v>6003465</v>
      </c>
      <c r="O27" s="50">
        <f t="shared" si="2"/>
        <v>194492959.93000001</v>
      </c>
      <c r="P27" s="46"/>
      <c r="Q27" s="51">
        <f>+AVERAGE(Q15:Q26)</f>
        <v>54.983870967741929</v>
      </c>
      <c r="R27" s="50">
        <f>SUM(R15:R26)</f>
        <v>12154741</v>
      </c>
      <c r="S27" s="46"/>
      <c r="T27" s="50">
        <f>SUM(T15:T26)</f>
        <v>90264525.640000015</v>
      </c>
      <c r="U27" s="50">
        <f>SUM(U15:U26)</f>
        <v>9285638.1399999987</v>
      </c>
      <c r="V27" s="46"/>
      <c r="W27" s="50">
        <f>SUM(W15:W26)</f>
        <v>702956998.37300003</v>
      </c>
      <c r="X27" s="29">
        <f>SUM(X15:X26)</f>
        <v>531121376.42134994</v>
      </c>
      <c r="Y27" s="29">
        <f>SUM(Y15:Y26)</f>
        <v>171835621.95164999</v>
      </c>
      <c r="Z27" s="29">
        <f>SUM(Z15:Z26)</f>
        <v>1311843.23</v>
      </c>
      <c r="AA27" s="45">
        <f t="shared" ref="AA27" si="3">SUM(AA15:AA26)</f>
        <v>156028.91</v>
      </c>
    </row>
    <row r="28" spans="1:27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X28" s="30"/>
      <c r="Y28" s="33"/>
      <c r="Z28" s="33"/>
      <c r="AA28" s="33"/>
    </row>
    <row r="29" spans="1:27" s="35" customFormat="1" x14ac:dyDescent="0.25">
      <c r="A29" s="32"/>
      <c r="B29" s="32"/>
      <c r="C29" s="33"/>
      <c r="D29" s="34">
        <f>D27/$C$27</f>
        <v>1.208438227999464E-2</v>
      </c>
      <c r="E29" s="34">
        <f>E27/$C$27</f>
        <v>0.90968476407575771</v>
      </c>
      <c r="F29" s="34">
        <f>F27/$C$27</f>
        <v>7.8230853645853984E-2</v>
      </c>
      <c r="G29" s="34"/>
      <c r="H29" s="33"/>
      <c r="L29" s="33"/>
      <c r="M29" s="33"/>
      <c r="N29" s="33"/>
      <c r="O29" s="33">
        <f>O27/$M$27</f>
        <v>0.20584485412107723</v>
      </c>
      <c r="P29" s="33"/>
      <c r="Q29" s="33"/>
      <c r="R29" s="33"/>
      <c r="X29" s="33">
        <f>X27/$W$27</f>
        <v>0.7555531528253292</v>
      </c>
      <c r="Y29" s="33">
        <f>Y27/$W$27</f>
        <v>0.24444684717467072</v>
      </c>
      <c r="Z29" s="33"/>
      <c r="AA29" s="33"/>
    </row>
    <row r="30" spans="1:27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7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51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39" t="s">
        <v>45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 t="s">
        <v>47</v>
      </c>
    </row>
  </sheetData>
  <mergeCells count="15">
    <mergeCell ref="A31:AA31"/>
    <mergeCell ref="A35:AA35"/>
    <mergeCell ref="A39:AA39"/>
    <mergeCell ref="A9:AA9"/>
    <mergeCell ref="C11:I11"/>
    <mergeCell ref="L11:O11"/>
    <mergeCell ref="Q11:R11"/>
    <mergeCell ref="T11:U11"/>
    <mergeCell ref="W11:AA11"/>
    <mergeCell ref="A6:AA6"/>
    <mergeCell ref="A1:AA1"/>
    <mergeCell ref="A2:AA2"/>
    <mergeCell ref="A3:AA3"/>
    <mergeCell ref="A4:AA4"/>
    <mergeCell ref="A5:AA5"/>
  </mergeCells>
  <conditionalFormatting sqref="C15:W26">
    <cfRule type="cellIs" dxfId="12" priority="5" operator="equal">
      <formula>0</formula>
    </cfRule>
  </conditionalFormatting>
  <hyperlinks>
    <hyperlink ref="A5" r:id="rId1" xr:uid="{F22F8C35-AAD1-482A-BF7B-46EA88806AE1}"/>
  </hyperlinks>
  <printOptions horizontalCentered="1" verticalCentered="1"/>
  <pageMargins left="0.25" right="0.25" top="0.75" bottom="0.75" header="0.3" footer="0.3"/>
  <pageSetup scale="52" fitToHeight="0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3EE3-CB42-492C-9B31-0605E86DB896}">
  <sheetPr>
    <pageSetUpPr fitToPage="1"/>
  </sheetPr>
  <dimension ref="A1:AA45"/>
  <sheetViews>
    <sheetView topLeftCell="A12" zoomScaleNormal="100" workbookViewId="0">
      <selection activeCell="A40" sqref="A4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4.570312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7.28515625" style="28" customWidth="1"/>
    <col min="13" max="13" width="12.7109375" style="28" customWidth="1"/>
    <col min="14" max="14" width="11.570312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4.28515625" style="1" customWidth="1"/>
    <col min="21" max="21" width="12.140625" style="1" customWidth="1"/>
    <col min="22" max="22" width="2" style="1" customWidth="1"/>
    <col min="23" max="23" width="14.28515625" style="1" customWidth="1"/>
    <col min="24" max="24" width="12.85546875" style="1" bestFit="1" customWidth="1"/>
    <col min="25" max="25" width="14" style="1" bestFit="1" customWidth="1"/>
    <col min="26" max="26" width="10.85546875" style="1" bestFit="1" customWidth="1"/>
    <col min="27" max="27" width="15.140625" style="1" bestFit="1" customWidth="1"/>
    <col min="28" max="257" width="9.14062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9.14062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9.14062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9.14062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9.14062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9.14062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9.14062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9.14062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9.14062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9.14062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9.14062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9.14062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9.14062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9.14062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9.14062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9.14062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9.14062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9.14062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9.14062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9.14062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9.14062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9.14062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9.14062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9.14062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9.14062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9.14062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9.14062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9.14062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9.14062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9.14062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9.14062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9.14062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9.14062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9.14062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9.14062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9.14062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9.14062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9.14062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9.14062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9.14062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9.14062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9.14062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9.14062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9.14062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9.14062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9.14062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9.14062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9.14062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9.14062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9.14062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9.14062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9.14062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9.14062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9.14062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9.14062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9.14062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9.14062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9.14062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9.14062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9.14062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9.14062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9.14062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9.14062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9.140625" style="1"/>
  </cols>
  <sheetData>
    <row r="1" spans="1:27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7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7" s="8" customFormat="1" ht="14.25" customHeight="1" x14ac:dyDescent="0.25">
      <c r="A9" s="67" t="s">
        <v>53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7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T11" s="74" t="s">
        <v>32</v>
      </c>
      <c r="U11" s="75"/>
      <c r="W11" s="76" t="s">
        <v>50</v>
      </c>
      <c r="X11" s="77"/>
      <c r="Y11" s="77"/>
      <c r="Z11" s="77"/>
      <c r="AA11" s="78"/>
    </row>
    <row r="12" spans="1:27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U12" s="21" t="s">
        <v>33</v>
      </c>
      <c r="W12" s="16" t="s">
        <v>4</v>
      </c>
      <c r="X12" s="36"/>
      <c r="Y12" s="36"/>
      <c r="Z12" s="36"/>
      <c r="AA12" s="36" t="s">
        <v>23</v>
      </c>
    </row>
    <row r="13" spans="1:27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U13" s="21" t="s">
        <v>34</v>
      </c>
      <c r="W13" s="16" t="s">
        <v>4</v>
      </c>
      <c r="X13" s="16" t="s">
        <v>24</v>
      </c>
      <c r="Y13" s="36" t="s">
        <v>4</v>
      </c>
      <c r="Z13" s="36" t="s">
        <v>25</v>
      </c>
      <c r="AA13" s="36" t="s">
        <v>26</v>
      </c>
    </row>
    <row r="14" spans="1:27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35</v>
      </c>
      <c r="U14" s="43" t="s">
        <v>16</v>
      </c>
      <c r="W14" s="23" t="s">
        <v>21</v>
      </c>
      <c r="X14" s="23" t="s">
        <v>27</v>
      </c>
      <c r="Y14" s="37" t="s">
        <v>28</v>
      </c>
      <c r="Z14" s="37" t="s">
        <v>29</v>
      </c>
      <c r="AA14" s="37" t="s">
        <v>30</v>
      </c>
    </row>
    <row r="15" spans="1:27" x14ac:dyDescent="0.25">
      <c r="A15" s="4">
        <v>44287</v>
      </c>
      <c r="C15" s="46">
        <v>471621609.61000001</v>
      </c>
      <c r="D15" s="46">
        <v>4593638.93</v>
      </c>
      <c r="E15" s="46">
        <v>429304031.75999999</v>
      </c>
      <c r="F15" s="46">
        <v>37723938.919999994</v>
      </c>
      <c r="G15" s="46">
        <v>0</v>
      </c>
      <c r="H15" s="49">
        <v>3892</v>
      </c>
      <c r="I15" s="46">
        <v>323.08957622473446</v>
      </c>
      <c r="J15" s="48"/>
      <c r="K15" s="48"/>
      <c r="L15" s="49">
        <v>161</v>
      </c>
      <c r="M15" s="53">
        <v>55571468.25</v>
      </c>
      <c r="N15" s="53">
        <v>312720</v>
      </c>
      <c r="O15" s="53">
        <v>8937062.3200000003</v>
      </c>
      <c r="P15" s="49"/>
      <c r="Q15" s="49">
        <v>0</v>
      </c>
      <c r="R15" s="53">
        <v>0</v>
      </c>
      <c r="S15" s="49"/>
      <c r="T15" s="53">
        <v>13537155.9</v>
      </c>
      <c r="U15" s="53">
        <v>1322622.8500000001</v>
      </c>
      <c r="V15"/>
      <c r="W15" s="46">
        <v>47983624.089999996</v>
      </c>
      <c r="X15" s="30">
        <v>35320548.880549997</v>
      </c>
      <c r="Y15" s="30">
        <v>12663075.209449999</v>
      </c>
      <c r="Z15" s="30">
        <v>80249.279999999999</v>
      </c>
      <c r="AA15" s="30">
        <v>0</v>
      </c>
    </row>
    <row r="16" spans="1:27" x14ac:dyDescent="0.25">
      <c r="A16" s="4">
        <f>+A15+31</f>
        <v>44318</v>
      </c>
      <c r="C16" s="46">
        <v>498512255.14999998</v>
      </c>
      <c r="D16" s="46">
        <v>5195377.47</v>
      </c>
      <c r="E16" s="46">
        <v>453849320.40000004</v>
      </c>
      <c r="F16" s="46">
        <v>39467557.280000001</v>
      </c>
      <c r="G16" s="46">
        <v>0</v>
      </c>
      <c r="H16" s="49">
        <v>3937.32</v>
      </c>
      <c r="I16" s="46">
        <v>323.353704812476</v>
      </c>
      <c r="J16" s="48"/>
      <c r="K16" s="48"/>
      <c r="L16" s="49">
        <v>170.54</v>
      </c>
      <c r="M16" s="53">
        <v>60312775.75</v>
      </c>
      <c r="N16" s="53">
        <v>331990</v>
      </c>
      <c r="O16" s="53">
        <v>12682097.699999999</v>
      </c>
      <c r="P16" s="49"/>
      <c r="Q16" s="49">
        <v>10.57</v>
      </c>
      <c r="R16" s="53">
        <v>97247</v>
      </c>
      <c r="S16" s="49"/>
      <c r="T16" s="53">
        <v>14145741.940000001</v>
      </c>
      <c r="U16" s="53">
        <v>1590113.33</v>
      </c>
      <c r="V16"/>
      <c r="W16" s="46">
        <v>53837015.310000002</v>
      </c>
      <c r="X16" s="30">
        <v>40240892.555600002</v>
      </c>
      <c r="Y16" s="30">
        <v>13596122.7544</v>
      </c>
      <c r="Z16" s="30">
        <v>35638.78</v>
      </c>
      <c r="AA16" s="30">
        <v>542.5</v>
      </c>
    </row>
    <row r="17" spans="1:27" x14ac:dyDescent="0.25">
      <c r="A17" s="4">
        <f t="shared" ref="A17:A26" si="0">+A16+31</f>
        <v>44349</v>
      </c>
      <c r="C17" s="46">
        <v>469396344.77999997</v>
      </c>
      <c r="D17" s="46">
        <v>5073667.01</v>
      </c>
      <c r="E17" s="46">
        <v>427608635.61000001</v>
      </c>
      <c r="F17" s="46">
        <v>36714042.160000004</v>
      </c>
      <c r="G17" s="46">
        <v>0</v>
      </c>
      <c r="H17" s="49">
        <v>4750</v>
      </c>
      <c r="I17" s="46">
        <v>257.64240112280703</v>
      </c>
      <c r="J17" s="48"/>
      <c r="K17" s="48"/>
      <c r="L17" s="49">
        <v>187</v>
      </c>
      <c r="M17" s="53">
        <v>63523941.5</v>
      </c>
      <c r="N17" s="53">
        <v>407870</v>
      </c>
      <c r="O17" s="53">
        <v>11596002.32</v>
      </c>
      <c r="P17" s="49"/>
      <c r="Q17" s="49">
        <v>8</v>
      </c>
      <c r="R17" s="53">
        <v>330036</v>
      </c>
      <c r="S17" s="49"/>
      <c r="T17" s="53">
        <v>14239818.800000001</v>
      </c>
      <c r="U17" s="53">
        <v>1858641.75</v>
      </c>
      <c r="V17"/>
      <c r="W17" s="46">
        <v>50498722.230000004</v>
      </c>
      <c r="X17" s="30">
        <v>37826508.921700001</v>
      </c>
      <c r="Y17" s="30">
        <v>12672213.3083</v>
      </c>
      <c r="Z17" s="30">
        <v>45761.439999999995</v>
      </c>
      <c r="AA17" s="30">
        <v>750</v>
      </c>
    </row>
    <row r="18" spans="1:27" x14ac:dyDescent="0.25">
      <c r="A18" s="4">
        <f t="shared" si="0"/>
        <v>44380</v>
      </c>
      <c r="C18" s="46">
        <v>561787619.13999999</v>
      </c>
      <c r="D18" s="46">
        <v>5619218.1699999999</v>
      </c>
      <c r="E18" s="46">
        <v>510509612.51000005</v>
      </c>
      <c r="F18" s="46">
        <v>45658788.459999993</v>
      </c>
      <c r="G18" s="46">
        <v>0</v>
      </c>
      <c r="H18" s="49">
        <v>5334</v>
      </c>
      <c r="I18" s="46">
        <v>276.12751103692676</v>
      </c>
      <c r="J18" s="48"/>
      <c r="K18" s="48"/>
      <c r="L18" s="49">
        <v>212</v>
      </c>
      <c r="M18" s="53">
        <v>80611174.549999997</v>
      </c>
      <c r="N18" s="53">
        <v>445180</v>
      </c>
      <c r="O18" s="53">
        <v>15428282.109999999</v>
      </c>
      <c r="P18" s="49"/>
      <c r="Q18" s="49">
        <v>24.35</v>
      </c>
      <c r="R18" s="53">
        <v>636973</v>
      </c>
      <c r="S18" s="49"/>
      <c r="T18" s="53">
        <v>9338106.9000000004</v>
      </c>
      <c r="U18" s="53">
        <v>1273620.5</v>
      </c>
      <c r="V18"/>
      <c r="W18" s="46">
        <v>62997664.069999993</v>
      </c>
      <c r="X18" s="30">
        <v>47209220.036499999</v>
      </c>
      <c r="Y18" s="30">
        <v>15788444.033499999</v>
      </c>
      <c r="Z18" s="30">
        <v>64959.039999999994</v>
      </c>
      <c r="AA18" s="30">
        <v>8000</v>
      </c>
    </row>
    <row r="19" spans="1:27" x14ac:dyDescent="0.25">
      <c r="A19" s="4">
        <f t="shared" si="0"/>
        <v>44411</v>
      </c>
      <c r="C19" s="46">
        <v>537955692.52999997</v>
      </c>
      <c r="D19" s="46">
        <v>6266013.7699999996</v>
      </c>
      <c r="E19" s="46">
        <v>489217320.76999998</v>
      </c>
      <c r="F19" s="46">
        <v>42472357.990000002</v>
      </c>
      <c r="G19" s="46">
        <v>0</v>
      </c>
      <c r="H19" s="49">
        <v>5289</v>
      </c>
      <c r="I19" s="46">
        <v>259.04255326026629</v>
      </c>
      <c r="J19" s="48"/>
      <c r="K19" s="48"/>
      <c r="L19" s="49">
        <v>215.48000000000002</v>
      </c>
      <c r="M19" s="53">
        <v>79363933.5</v>
      </c>
      <c r="N19" s="53">
        <v>403025</v>
      </c>
      <c r="O19" s="53">
        <v>15971051.82</v>
      </c>
      <c r="P19" s="49"/>
      <c r="Q19" s="49">
        <v>23.61</v>
      </c>
      <c r="R19" s="53">
        <v>599703</v>
      </c>
      <c r="S19" s="49"/>
      <c r="T19" s="53">
        <v>9153603.3200000003</v>
      </c>
      <c r="U19" s="53">
        <v>1080570.23</v>
      </c>
      <c r="V19"/>
      <c r="W19" s="46">
        <v>60123683.039999999</v>
      </c>
      <c r="X19" s="30">
        <v>45289704.255699992</v>
      </c>
      <c r="Y19" s="30">
        <v>14833978.784300001</v>
      </c>
      <c r="Z19" s="30">
        <v>60387.39</v>
      </c>
      <c r="AA19" s="30">
        <v>0</v>
      </c>
    </row>
    <row r="20" spans="1:27" x14ac:dyDescent="0.25">
      <c r="A20" s="4">
        <f t="shared" si="0"/>
        <v>44442</v>
      </c>
      <c r="C20" s="46">
        <v>504072644.44999999</v>
      </c>
      <c r="D20" s="46">
        <v>6181359.79</v>
      </c>
      <c r="E20" s="46">
        <v>458720025.86000001</v>
      </c>
      <c r="F20" s="46">
        <v>39171258.799999997</v>
      </c>
      <c r="G20" s="46">
        <v>0</v>
      </c>
      <c r="H20" s="49">
        <v>5281</v>
      </c>
      <c r="I20" s="46">
        <v>247.24647352142901</v>
      </c>
      <c r="J20" s="48"/>
      <c r="K20" s="48"/>
      <c r="L20" s="49">
        <v>215</v>
      </c>
      <c r="M20" s="53">
        <v>75252681</v>
      </c>
      <c r="N20" s="53">
        <v>403990</v>
      </c>
      <c r="O20" s="53">
        <v>17277719.399999999</v>
      </c>
      <c r="P20" s="49"/>
      <c r="Q20" s="49">
        <v>44.3</v>
      </c>
      <c r="R20" s="53">
        <v>1047105</v>
      </c>
      <c r="S20" s="49"/>
      <c r="T20" s="53">
        <v>17355781.390000001</v>
      </c>
      <c r="U20" s="53">
        <v>3187044.93</v>
      </c>
      <c r="V20"/>
      <c r="W20" s="46">
        <v>60683128.129999995</v>
      </c>
      <c r="X20" s="30">
        <v>46474695.711199999</v>
      </c>
      <c r="Y20" s="30">
        <v>14208432.4188</v>
      </c>
      <c r="Z20" s="30">
        <v>84438.15</v>
      </c>
      <c r="AA20" s="54">
        <v>-43771.55</v>
      </c>
    </row>
    <row r="21" spans="1:27" x14ac:dyDescent="0.25">
      <c r="A21" s="4">
        <f t="shared" si="0"/>
        <v>44473</v>
      </c>
      <c r="C21" s="46">
        <v>545318783.75999999</v>
      </c>
      <c r="D21" s="46">
        <v>6530180.5699999994</v>
      </c>
      <c r="E21" s="46">
        <v>496018947.19</v>
      </c>
      <c r="F21" s="46">
        <v>42769656</v>
      </c>
      <c r="G21" s="46">
        <v>0</v>
      </c>
      <c r="H21" s="49">
        <v>5284</v>
      </c>
      <c r="I21" s="46">
        <v>261.10263485629167</v>
      </c>
      <c r="J21" s="48"/>
      <c r="K21" s="48"/>
      <c r="L21" s="49">
        <v>252</v>
      </c>
      <c r="M21" s="53">
        <v>82105573.049999997</v>
      </c>
      <c r="N21" s="53">
        <v>454360</v>
      </c>
      <c r="O21" s="53">
        <v>14917655.75</v>
      </c>
      <c r="P21" s="49"/>
      <c r="Q21" s="49">
        <v>50</v>
      </c>
      <c r="R21" s="53">
        <v>1042562</v>
      </c>
      <c r="S21" s="49"/>
      <c r="T21" s="53">
        <v>25567295.66</v>
      </c>
      <c r="U21" s="53">
        <v>1718614.68</v>
      </c>
      <c r="V21"/>
      <c r="W21" s="46">
        <v>60448488.43</v>
      </c>
      <c r="X21" s="30">
        <v>45512628.940349996</v>
      </c>
      <c r="Y21" s="30">
        <v>14935859.48965</v>
      </c>
      <c r="Z21" s="30">
        <v>123424.91</v>
      </c>
      <c r="AA21" s="30">
        <v>16000</v>
      </c>
    </row>
    <row r="22" spans="1:27" x14ac:dyDescent="0.25">
      <c r="A22" s="4">
        <f t="shared" si="0"/>
        <v>44504</v>
      </c>
      <c r="C22" s="46">
        <v>475677533.68000001</v>
      </c>
      <c r="D22" s="46">
        <v>5781711.7799999993</v>
      </c>
      <c r="E22" s="46">
        <v>432379758.74000001</v>
      </c>
      <c r="F22" s="46">
        <v>37516063.159999996</v>
      </c>
      <c r="G22" s="46">
        <v>0</v>
      </c>
      <c r="H22" s="49">
        <v>5284</v>
      </c>
      <c r="I22" s="46">
        <v>236.66454176129193</v>
      </c>
      <c r="J22" s="48"/>
      <c r="K22" s="48"/>
      <c r="L22" s="49">
        <v>292</v>
      </c>
      <c r="M22" s="53">
        <v>74471301.25999999</v>
      </c>
      <c r="N22" s="53">
        <v>389900</v>
      </c>
      <c r="O22" s="53">
        <v>16209649.199999999</v>
      </c>
      <c r="P22" s="49"/>
      <c r="Q22" s="49">
        <v>55</v>
      </c>
      <c r="R22" s="53">
        <v>966429</v>
      </c>
      <c r="S22" s="49"/>
      <c r="T22" s="53">
        <v>21519094.020000003</v>
      </c>
      <c r="U22" s="53">
        <v>3956491.1799999997</v>
      </c>
      <c r="V22"/>
      <c r="W22" s="46">
        <v>58648632.539999999</v>
      </c>
      <c r="X22" s="30">
        <v>44992974.861949995</v>
      </c>
      <c r="Y22" s="30">
        <v>13655657.67805</v>
      </c>
      <c r="Z22" s="30">
        <v>84110.140000000014</v>
      </c>
      <c r="AA22" s="30">
        <v>80524.070000000007</v>
      </c>
    </row>
    <row r="23" spans="1:27" x14ac:dyDescent="0.25">
      <c r="A23" s="4">
        <f t="shared" si="0"/>
        <v>44535</v>
      </c>
      <c r="C23" s="46">
        <v>475606419.44</v>
      </c>
      <c r="D23" s="46">
        <v>5664134.71</v>
      </c>
      <c r="E23" s="46">
        <v>433193777.06</v>
      </c>
      <c r="F23" s="46">
        <v>36748507.670000002</v>
      </c>
      <c r="G23" s="46">
        <v>0</v>
      </c>
      <c r="H23" s="49">
        <v>5267.03</v>
      </c>
      <c r="I23" s="46">
        <v>225.06720700097068</v>
      </c>
      <c r="J23" s="48"/>
      <c r="K23" s="48"/>
      <c r="L23" s="49">
        <v>306</v>
      </c>
      <c r="M23" s="53">
        <v>81758329.25</v>
      </c>
      <c r="N23" s="53">
        <v>502770</v>
      </c>
      <c r="O23" s="53">
        <v>14686102.970000001</v>
      </c>
      <c r="P23" s="49"/>
      <c r="Q23" s="49">
        <v>55</v>
      </c>
      <c r="R23" s="53">
        <v>922518</v>
      </c>
      <c r="S23" s="49"/>
      <c r="T23" s="53">
        <v>21129980.809999999</v>
      </c>
      <c r="U23" s="53">
        <v>764614.86</v>
      </c>
      <c r="V23"/>
      <c r="W23" s="46">
        <v>53121743.5</v>
      </c>
      <c r="X23" s="30">
        <v>40189286.478799999</v>
      </c>
      <c r="Y23" s="30">
        <v>12932457.021199999</v>
      </c>
      <c r="Z23" s="30">
        <v>95227.31</v>
      </c>
      <c r="AA23" s="30">
        <v>26000</v>
      </c>
    </row>
    <row r="24" spans="1:27" x14ac:dyDescent="0.25">
      <c r="A24" s="4">
        <f t="shared" si="0"/>
        <v>44566</v>
      </c>
      <c r="C24" s="46">
        <v>423410620.71000004</v>
      </c>
      <c r="D24" s="46">
        <v>5210544.54</v>
      </c>
      <c r="E24" s="46">
        <v>386107973.52999997</v>
      </c>
      <c r="F24" s="46">
        <v>32092102.639999993</v>
      </c>
      <c r="G24" s="46">
        <v>0</v>
      </c>
      <c r="H24" s="49">
        <v>5256</v>
      </c>
      <c r="I24" s="46">
        <v>196.96139981342364</v>
      </c>
      <c r="J24" s="48"/>
      <c r="K24" s="48"/>
      <c r="L24" s="49">
        <v>309</v>
      </c>
      <c r="M24" s="53">
        <v>69151833</v>
      </c>
      <c r="N24" s="53">
        <v>289560</v>
      </c>
      <c r="O24" s="53">
        <v>15374620.149999999</v>
      </c>
      <c r="P24" s="49"/>
      <c r="Q24" s="49">
        <v>55</v>
      </c>
      <c r="R24" s="53">
        <v>914142</v>
      </c>
      <c r="S24" s="49"/>
      <c r="T24" s="53">
        <v>16544864.060000001</v>
      </c>
      <c r="U24" s="46">
        <v>-328829.37</v>
      </c>
      <c r="V24"/>
      <c r="W24" s="46">
        <v>48052035.419999994</v>
      </c>
      <c r="X24" s="30">
        <v>36549579.631999999</v>
      </c>
      <c r="Y24" s="30">
        <v>11502455.787999997</v>
      </c>
      <c r="Z24" s="30">
        <v>106556.83</v>
      </c>
      <c r="AA24" s="30">
        <v>10000</v>
      </c>
    </row>
    <row r="25" spans="1:27" x14ac:dyDescent="0.25">
      <c r="A25" s="4">
        <f t="shared" si="0"/>
        <v>44597</v>
      </c>
      <c r="C25" s="46">
        <v>458545129.42000002</v>
      </c>
      <c r="D25" s="46">
        <v>5197662.7700000005</v>
      </c>
      <c r="E25" s="46">
        <v>417574754.37</v>
      </c>
      <c r="F25" s="46">
        <v>35772712.280000001</v>
      </c>
      <c r="G25" s="46">
        <v>0</v>
      </c>
      <c r="H25" s="49">
        <v>5256</v>
      </c>
      <c r="I25" s="46">
        <v>243.07398537725592</v>
      </c>
      <c r="J25" s="48"/>
      <c r="K25" s="48"/>
      <c r="L25" s="49">
        <v>309</v>
      </c>
      <c r="M25" s="53">
        <v>69862554.5</v>
      </c>
      <c r="N25" s="53">
        <v>321730</v>
      </c>
      <c r="O25" s="53">
        <v>13416407.379999999</v>
      </c>
      <c r="P25" s="49"/>
      <c r="Q25" s="49">
        <v>55</v>
      </c>
      <c r="R25" s="53">
        <v>890922</v>
      </c>
      <c r="S25" s="49"/>
      <c r="T25" s="53">
        <v>6510638.96</v>
      </c>
      <c r="U25" s="46">
        <v>-242504.44</v>
      </c>
      <c r="V25"/>
      <c r="W25" s="46">
        <v>49837537.219999999</v>
      </c>
      <c r="X25" s="30">
        <v>37401602.106350005</v>
      </c>
      <c r="Y25" s="30">
        <v>12435935.113649998</v>
      </c>
      <c r="Z25" s="30">
        <v>102532.28</v>
      </c>
      <c r="AA25" s="30">
        <v>75000</v>
      </c>
    </row>
    <row r="26" spans="1:27" x14ac:dyDescent="0.25">
      <c r="A26" s="4">
        <f t="shared" si="0"/>
        <v>44628</v>
      </c>
      <c r="C26" s="46">
        <v>520198034</v>
      </c>
      <c r="D26" s="46">
        <v>5975360.629999999</v>
      </c>
      <c r="E26" s="46">
        <v>473238652.44</v>
      </c>
      <c r="F26" s="46">
        <v>40984020.93</v>
      </c>
      <c r="G26" s="46">
        <v>0</v>
      </c>
      <c r="H26" s="49">
        <v>5256.2222222222226</v>
      </c>
      <c r="I26" s="46">
        <v>251.52383887060631</v>
      </c>
      <c r="J26" s="48"/>
      <c r="K26" s="48"/>
      <c r="L26" s="49">
        <v>310</v>
      </c>
      <c r="M26" s="53">
        <v>81170034.5</v>
      </c>
      <c r="N26" s="53">
        <v>325415</v>
      </c>
      <c r="O26" s="53">
        <v>14340218.189999999</v>
      </c>
      <c r="P26" s="49"/>
      <c r="Q26" s="49">
        <v>55</v>
      </c>
      <c r="R26" s="53">
        <v>1044848</v>
      </c>
      <c r="S26" s="49"/>
      <c r="T26" s="53">
        <v>6522858.370000001</v>
      </c>
      <c r="U26" s="46">
        <v>674147.92000000027</v>
      </c>
      <c r="V26"/>
      <c r="W26" s="46">
        <v>57043235.039999999</v>
      </c>
      <c r="X26" s="30">
        <v>42789959.617349997</v>
      </c>
      <c r="Y26" s="30">
        <v>14253275.42265</v>
      </c>
      <c r="Z26" s="30">
        <v>200843.04999999996</v>
      </c>
      <c r="AA26" s="30">
        <v>5467254.0199999996</v>
      </c>
    </row>
    <row r="27" spans="1:27" ht="15.75" thickBot="1" x14ac:dyDescent="0.3">
      <c r="A27" s="4" t="s">
        <v>22</v>
      </c>
      <c r="C27" s="50">
        <f>SUM(C15:C26)</f>
        <v>5942102686.6700001</v>
      </c>
      <c r="D27" s="50">
        <f t="shared" ref="D27:E27" si="1">SUM(D15:D26)</f>
        <v>67288870.140000001</v>
      </c>
      <c r="E27" s="50">
        <f t="shared" si="1"/>
        <v>5407722810.2399998</v>
      </c>
      <c r="F27" s="50">
        <f>SUM(F15:F26)</f>
        <v>467091006.29000002</v>
      </c>
      <c r="G27" s="50"/>
      <c r="H27" s="51">
        <f>+AVERAGE(H15:H26)</f>
        <v>5007.2143518518524</v>
      </c>
      <c r="I27" s="52">
        <v>256</v>
      </c>
      <c r="J27" s="48"/>
      <c r="K27" s="46"/>
      <c r="L27" s="51">
        <f>+AVERAGE(L15:L26)</f>
        <v>244.91833333333332</v>
      </c>
      <c r="M27" s="50">
        <f>SUM(M15:M26)</f>
        <v>873155600.11000001</v>
      </c>
      <c r="N27" s="50">
        <f t="shared" ref="N27:O27" si="2">SUM(N15:N26)</f>
        <v>4588510</v>
      </c>
      <c r="O27" s="50">
        <f t="shared" si="2"/>
        <v>170836869.31</v>
      </c>
      <c r="P27" s="46"/>
      <c r="Q27" s="51">
        <f>+AVERAGE(Q15:Q26)</f>
        <v>36.319166666666668</v>
      </c>
      <c r="R27" s="50">
        <f>SUM(R15:R26)</f>
        <v>8492485</v>
      </c>
      <c r="S27" s="46"/>
      <c r="T27" s="50">
        <f>SUM(T15:T26)</f>
        <v>175564940.13000003</v>
      </c>
      <c r="U27" s="50">
        <f>SUM(U15:U26)</f>
        <v>16855148.420000002</v>
      </c>
      <c r="V27" s="46"/>
      <c r="W27" s="50">
        <f>SUM(W15:W26)</f>
        <v>663275509.01999998</v>
      </c>
      <c r="X27" s="29">
        <f>SUM(X15:X26)</f>
        <v>499797601.99804991</v>
      </c>
      <c r="Y27" s="29">
        <f>SUM(Y15:Y26)</f>
        <v>163477907.02194998</v>
      </c>
      <c r="Z27" s="29">
        <f>SUM(Z15:Z26)</f>
        <v>1084128.5999999999</v>
      </c>
      <c r="AA27" s="45">
        <f t="shared" ref="AA27" si="3">SUM(AA15:AA26)</f>
        <v>5640299.0399999991</v>
      </c>
    </row>
    <row r="28" spans="1:27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X28" s="30"/>
      <c r="Y28" s="33"/>
      <c r="Z28" s="33"/>
      <c r="AA28" s="33"/>
    </row>
    <row r="29" spans="1:27" s="35" customFormat="1" x14ac:dyDescent="0.25">
      <c r="A29" s="32"/>
      <c r="B29" s="32"/>
      <c r="C29" s="33"/>
      <c r="D29" s="34">
        <f>D27/C27</f>
        <v>1.1324084030212072E-2</v>
      </c>
      <c r="E29" s="34">
        <f>E27/C27</f>
        <v>0.91006889234196808</v>
      </c>
      <c r="F29" s="34">
        <f>F27/C27</f>
        <v>7.8607023627819766E-2</v>
      </c>
      <c r="G29" s="34"/>
      <c r="H29" s="33"/>
      <c r="L29" s="33"/>
      <c r="M29" s="33"/>
      <c r="N29" s="33"/>
      <c r="O29" s="33">
        <f>O27/$M$27</f>
        <v>0.19565455376851273</v>
      </c>
      <c r="P29" s="33"/>
      <c r="Q29" s="33"/>
      <c r="R29" s="33"/>
      <c r="X29" s="33">
        <f>X27/$W$27</f>
        <v>0.75352940852061423</v>
      </c>
      <c r="Y29" s="33">
        <f>Y27/$W$27</f>
        <v>0.24647059147938563</v>
      </c>
      <c r="Z29" s="33"/>
      <c r="AA29" s="33"/>
    </row>
    <row r="30" spans="1:27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7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51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39" t="s">
        <v>45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 t="s">
        <v>47</v>
      </c>
    </row>
  </sheetData>
  <mergeCells count="15">
    <mergeCell ref="A31:AA31"/>
    <mergeCell ref="A35:AA35"/>
    <mergeCell ref="A39:AA39"/>
    <mergeCell ref="A9:AA9"/>
    <mergeCell ref="C11:I11"/>
    <mergeCell ref="L11:O11"/>
    <mergeCell ref="Q11:R11"/>
    <mergeCell ref="T11:U11"/>
    <mergeCell ref="W11:AA11"/>
    <mergeCell ref="A6:AA6"/>
    <mergeCell ref="A1:AA1"/>
    <mergeCell ref="A2:AA2"/>
    <mergeCell ref="A3:AA3"/>
    <mergeCell ref="A4:AA4"/>
    <mergeCell ref="A5:AA5"/>
  </mergeCells>
  <conditionalFormatting sqref="C15:W26">
    <cfRule type="cellIs" dxfId="11" priority="1" operator="equal">
      <formula>0</formula>
    </cfRule>
  </conditionalFormatting>
  <hyperlinks>
    <hyperlink ref="A5" r:id="rId1" xr:uid="{1C709523-FD9E-465C-881E-16E435A67C9C}"/>
  </hyperlinks>
  <printOptions horizontalCentered="1" verticalCentered="1"/>
  <pageMargins left="0.25" right="0.25" top="0.75" bottom="0.75" header="0.3" footer="0.3"/>
  <pageSetup scale="52" fitToHeight="0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1915-89DB-4973-B20C-54465373E5F8}">
  <sheetPr>
    <pageSetUpPr fitToPage="1"/>
  </sheetPr>
  <dimension ref="A1:AE45"/>
  <sheetViews>
    <sheetView topLeftCell="A16" zoomScaleNormal="100" workbookViewId="0">
      <selection activeCell="A40" sqref="A4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6.710937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7.28515625" style="28" customWidth="1"/>
    <col min="13" max="13" width="12.7109375" style="28" customWidth="1"/>
    <col min="14" max="14" width="11.570312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4.28515625" style="1" customWidth="1"/>
    <col min="21" max="21" width="12.140625" style="1" customWidth="1"/>
    <col min="22" max="22" width="2" style="1" customWidth="1"/>
    <col min="23" max="23" width="14.28515625" style="1" customWidth="1"/>
    <col min="24" max="24" width="12.85546875" style="1" bestFit="1" customWidth="1"/>
    <col min="25" max="25" width="14" style="1" bestFit="1" customWidth="1"/>
    <col min="26" max="26" width="10.85546875" style="1" bestFit="1" customWidth="1"/>
    <col min="27" max="27" width="15.140625" style="1" bestFit="1" customWidth="1"/>
    <col min="28" max="30" width="9.140625" style="1"/>
    <col min="31" max="31" width="14.42578125" style="1" customWidth="1"/>
    <col min="32" max="257" width="9.14062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9.14062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9.14062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9.14062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9.14062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9.14062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9.14062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9.14062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9.14062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9.14062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9.14062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9.14062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9.14062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9.14062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9.14062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9.14062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9.14062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9.14062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9.14062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9.14062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9.14062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9.14062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9.14062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9.14062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9.14062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9.14062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9.14062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9.14062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9.14062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9.14062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9.14062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9.14062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9.14062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9.14062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9.14062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9.14062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9.14062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9.14062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9.14062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9.14062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9.14062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9.14062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9.14062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9.14062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9.14062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9.14062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9.14062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9.14062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9.14062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9.14062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9.14062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9.14062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9.14062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9.14062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9.14062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9.14062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9.14062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9.14062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9.14062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9.14062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9.14062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9.14062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9.14062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9.140625" style="1"/>
  </cols>
  <sheetData>
    <row r="1" spans="1:27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7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7" s="8" customFormat="1" ht="14.25" customHeight="1" x14ac:dyDescent="0.25">
      <c r="A9" s="67" t="s">
        <v>55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7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T11" s="74" t="s">
        <v>32</v>
      </c>
      <c r="U11" s="75"/>
      <c r="W11" s="76" t="s">
        <v>50</v>
      </c>
      <c r="X11" s="77"/>
      <c r="Y11" s="77"/>
      <c r="Z11" s="77"/>
      <c r="AA11" s="78"/>
    </row>
    <row r="12" spans="1:27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U12" s="21" t="s">
        <v>33</v>
      </c>
      <c r="W12" s="16" t="s">
        <v>4</v>
      </c>
      <c r="X12" s="36"/>
      <c r="Y12" s="36"/>
      <c r="Z12" s="36"/>
      <c r="AA12" s="36" t="s">
        <v>23</v>
      </c>
    </row>
    <row r="13" spans="1:27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U13" s="21" t="s">
        <v>34</v>
      </c>
      <c r="W13" s="16" t="s">
        <v>4</v>
      </c>
      <c r="X13" s="16" t="s">
        <v>24</v>
      </c>
      <c r="Y13" s="36" t="s">
        <v>4</v>
      </c>
      <c r="Z13" s="36" t="s">
        <v>25</v>
      </c>
      <c r="AA13" s="36" t="s">
        <v>26</v>
      </c>
    </row>
    <row r="14" spans="1:27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35</v>
      </c>
      <c r="U14" s="43" t="s">
        <v>16</v>
      </c>
      <c r="W14" s="23" t="s">
        <v>21</v>
      </c>
      <c r="X14" s="23" t="s">
        <v>27</v>
      </c>
      <c r="Y14" s="37" t="s">
        <v>28</v>
      </c>
      <c r="Z14" s="37" t="s">
        <v>29</v>
      </c>
      <c r="AA14" s="37" t="s">
        <v>30</v>
      </c>
    </row>
    <row r="15" spans="1:27" x14ac:dyDescent="0.25">
      <c r="A15" s="4">
        <v>43922</v>
      </c>
      <c r="C15" s="46"/>
      <c r="D15" s="46"/>
      <c r="E15" s="46"/>
      <c r="F15" s="46"/>
      <c r="G15" s="46"/>
      <c r="H15" s="49"/>
      <c r="I15" s="46"/>
      <c r="J15" s="48"/>
      <c r="K15" s="48"/>
      <c r="L15" s="49"/>
      <c r="M15" s="53"/>
      <c r="N15" s="53"/>
      <c r="O15" s="53"/>
      <c r="P15" s="49"/>
      <c r="Q15" s="49">
        <v>0</v>
      </c>
      <c r="R15" s="53">
        <v>0</v>
      </c>
      <c r="S15" s="49"/>
      <c r="T15" s="53"/>
      <c r="U15" s="53"/>
      <c r="V15"/>
      <c r="W15" s="46"/>
      <c r="X15" s="30"/>
      <c r="Y15" s="30"/>
      <c r="Z15" s="30"/>
      <c r="AA15" s="30"/>
    </row>
    <row r="16" spans="1:27" x14ac:dyDescent="0.25">
      <c r="A16" s="4">
        <f>+A15+31</f>
        <v>43953</v>
      </c>
      <c r="C16" s="46"/>
      <c r="D16" s="46"/>
      <c r="E16" s="46"/>
      <c r="F16" s="46"/>
      <c r="G16" s="46"/>
      <c r="H16" s="49"/>
      <c r="I16" s="46"/>
      <c r="J16" s="48"/>
      <c r="K16" s="48"/>
      <c r="L16" s="49"/>
      <c r="M16" s="53"/>
      <c r="N16" s="53"/>
      <c r="O16" s="53"/>
      <c r="P16" s="49"/>
      <c r="Q16" s="49"/>
      <c r="R16" s="53"/>
      <c r="S16" s="49"/>
      <c r="T16" s="53"/>
      <c r="U16" s="53"/>
      <c r="V16"/>
      <c r="W16" s="46"/>
      <c r="X16" s="30"/>
      <c r="Y16" s="30"/>
      <c r="Z16" s="30"/>
      <c r="AA16" s="30"/>
    </row>
    <row r="17" spans="1:31" x14ac:dyDescent="0.25">
      <c r="A17" s="4">
        <f t="shared" ref="A17:A26" si="0">+A16+31</f>
        <v>43984</v>
      </c>
      <c r="C17" s="46"/>
      <c r="D17" s="46"/>
      <c r="E17" s="46"/>
      <c r="F17" s="46"/>
      <c r="G17" s="46"/>
      <c r="H17" s="49"/>
      <c r="I17" s="46"/>
      <c r="J17" s="48"/>
      <c r="K17" s="48"/>
      <c r="L17" s="49"/>
      <c r="M17" s="53"/>
      <c r="N17" s="53"/>
      <c r="O17" s="53"/>
      <c r="P17" s="49"/>
      <c r="Q17" s="49"/>
      <c r="R17" s="53"/>
      <c r="S17" s="49"/>
      <c r="T17" s="53"/>
      <c r="U17" s="53"/>
      <c r="V17"/>
      <c r="W17" s="46"/>
      <c r="X17" s="30"/>
      <c r="Y17" s="30"/>
      <c r="Z17" s="30"/>
      <c r="AA17" s="30"/>
    </row>
    <row r="18" spans="1:31" x14ac:dyDescent="0.25">
      <c r="A18" s="4">
        <f t="shared" si="0"/>
        <v>44015</v>
      </c>
      <c r="C18" s="46"/>
      <c r="D18" s="46"/>
      <c r="E18" s="46"/>
      <c r="F18" s="46"/>
      <c r="G18" s="46"/>
      <c r="H18" s="49"/>
      <c r="I18" s="46"/>
      <c r="J18" s="48"/>
      <c r="K18" s="48"/>
      <c r="L18" s="49"/>
      <c r="M18" s="53"/>
      <c r="N18" s="53"/>
      <c r="O18" s="53"/>
      <c r="P18" s="49"/>
      <c r="Q18" s="49"/>
      <c r="R18" s="53"/>
      <c r="S18" s="49"/>
      <c r="T18" s="53"/>
      <c r="U18" s="53"/>
      <c r="V18"/>
      <c r="W18" s="46"/>
      <c r="X18" s="30"/>
      <c r="Y18" s="30"/>
      <c r="Z18" s="30"/>
      <c r="AA18" s="30"/>
    </row>
    <row r="19" spans="1:31" x14ac:dyDescent="0.25">
      <c r="A19" s="4">
        <f t="shared" si="0"/>
        <v>44046</v>
      </c>
      <c r="C19" s="46"/>
      <c r="D19" s="46"/>
      <c r="E19" s="46"/>
      <c r="F19" s="46"/>
      <c r="G19" s="46"/>
      <c r="H19" s="49"/>
      <c r="I19" s="46"/>
      <c r="J19" s="48"/>
      <c r="K19" s="48"/>
      <c r="L19" s="49"/>
      <c r="M19" s="53"/>
      <c r="N19" s="53"/>
      <c r="O19" s="53"/>
      <c r="P19" s="49"/>
      <c r="Q19" s="49"/>
      <c r="R19" s="53"/>
      <c r="S19" s="49"/>
      <c r="T19" s="53"/>
      <c r="U19" s="53"/>
      <c r="V19"/>
      <c r="W19" s="46"/>
      <c r="X19" s="30"/>
      <c r="Y19" s="30"/>
      <c r="Z19" s="30"/>
      <c r="AA19" s="30"/>
    </row>
    <row r="20" spans="1:31" x14ac:dyDescent="0.25">
      <c r="A20" s="4">
        <f t="shared" si="0"/>
        <v>44077</v>
      </c>
      <c r="C20" s="46">
        <f>+'[3]20-21 RW Catskills Monthly'!C19+'[4]del Lago Monthly FY 20-21'!C19+'[1]20-21 Tioga Monthly'!C19+'[2]20-21 Rivers Monthly'!C19</f>
        <v>248207421.78999999</v>
      </c>
      <c r="D20" s="46">
        <f>+'[3]20-21 RW Catskills Monthly'!D19+'[4]del Lago Monthly FY 20-21'!D19+'[1]20-21 Tioga Monthly'!D19+'[2]20-21 Rivers Monthly'!D19</f>
        <v>1604815.56</v>
      </c>
      <c r="E20" s="46">
        <f>+'[3]20-21 RW Catskills Monthly'!E19+'[4]del Lago Monthly FY 20-21'!E19+'[1]20-21 Tioga Monthly'!E19+'[2]20-21 Rivers Monthly'!E19</f>
        <v>225593761.36000001</v>
      </c>
      <c r="F20" s="46">
        <f>+'[3]20-21 RW Catskills Monthly'!F19+'[4]del Lago Monthly FY 20-21'!F19+'[1]20-21 Tioga Monthly'!F19+'[2]20-21 Rivers Monthly'!F19</f>
        <v>21008844.870000001</v>
      </c>
      <c r="G20" s="46"/>
      <c r="H20" s="49">
        <f>+'[3]20-21 RW Catskills Monthly'!H19+'[4]del Lago Monthly FY 20-21'!H19+'[1]20-21 Tioga Monthly'!H19+'[2]20-21 Rivers Monthly'!H19</f>
        <v>2741.13</v>
      </c>
      <c r="I20" s="46">
        <f>+F20/H20/22</f>
        <v>348.37730939098441</v>
      </c>
      <c r="J20" s="48"/>
      <c r="K20" s="48"/>
      <c r="L20" s="49">
        <f>+'[3]20-21 RW Catskills Monthly'!L19+'[4]del Lago Monthly FY 20-21'!L19+'[1]20-21 Tioga Monthly'!L19+'[2]20-21 Rivers Monthly'!L19</f>
        <v>95</v>
      </c>
      <c r="M20" s="53">
        <f>+'[3]20-21 RW Catskills Monthly'!M19+'[4]del Lago Monthly FY 20-21'!M19+'[1]20-21 Tioga Monthly'!M19+'[2]20-21 Rivers Monthly'!M19</f>
        <v>18657620</v>
      </c>
      <c r="N20" s="53">
        <f>+'[3]20-21 RW Catskills Monthly'!N19+'[4]del Lago Monthly FY 20-21'!N19+'[1]20-21 Tioga Monthly'!N19+'[2]20-21 Rivers Monthly'!N19</f>
        <v>57650</v>
      </c>
      <c r="O20" s="53">
        <f>+'[3]20-21 RW Catskills Monthly'!O19+'[4]del Lago Monthly FY 20-21'!O19+'[1]20-21 Tioga Monthly'!O19+'[2]20-21 Rivers Monthly'!O19</f>
        <v>3707877.33</v>
      </c>
      <c r="P20" s="49"/>
      <c r="Q20" s="57">
        <f>+'[3]20-21 RW Catskills Monthly'!Q19+'[4]del Lago Monthly FY 20-21'!Q19+'[1]20-21 Tioga Monthly'!Q19+'[2]20-21 Rivers Monthly'!Q19</f>
        <v>0</v>
      </c>
      <c r="R20" s="58">
        <f>+'[3]20-21 RW Catskills Monthly'!R19+'[4]del Lago Monthly FY 20-21'!R19+'[1]20-21 Tioga Monthly'!R19+'[2]20-21 Rivers Monthly'!R19</f>
        <v>0</v>
      </c>
      <c r="S20" s="49"/>
      <c r="T20" s="53">
        <v>11166733.170000006</v>
      </c>
      <c r="U20" s="53">
        <f>+'[3]20-21 RW Catskills Monthly'!T19+'[4]del Lago Monthly FY 20-21'!T19+'[1]20-21 Tioga Monthly'!T19+'[2]20-21 Rivers Monthly'!T19</f>
        <v>1403543.6400000001</v>
      </c>
      <c r="V20"/>
      <c r="W20" s="46">
        <f>+'[3]20-21 RW Catskills Monthly'!V19+'[4]del Lago Monthly FY 20-21'!V19+'[1]20-21 Tioga Monthly'!V19+'[2]20-21 Rivers Monthly'!V19</f>
        <v>26120265.840000004</v>
      </c>
      <c r="X20" s="30">
        <f>+'[1]20-21 Tioga Monthly'!C41+'[2]20-21 Rivers Monthly'!C41+'[3]20-21 RW Catskills Monthly'!C41+'[4]del Lago Monthly FY 20-21'!C41</f>
        <v>17199876.154300001</v>
      </c>
      <c r="Y20" s="30">
        <f>+'[1]20-21 Tioga Monthly'!D41+'[2]20-21 Rivers Monthly'!D41+'[3]20-21 RW Catskills Monthly'!D41+'[4]del Lago Monthly FY 20-21'!D41</f>
        <v>8920389.6857000012</v>
      </c>
      <c r="Z20" s="30">
        <f>+'[1]20-21 Tioga Monthly'!E41+'[2]20-21 Rivers Monthly'!E41+'[3]20-21 RW Catskills Monthly'!E41+'[4]del Lago Monthly FY 20-21'!E41</f>
        <v>54219.869999999995</v>
      </c>
      <c r="AA20" s="54">
        <f>+'[3]20-21 RW Catskills Monthly'!F41+'[4]del Lago Monthly FY 20-21'!F41+'[1]20-21 Tioga Monthly'!F41+'[2]20-21 Rivers Monthly'!F41</f>
        <v>3531.2700000000004</v>
      </c>
      <c r="AE20" s="46"/>
    </row>
    <row r="21" spans="1:31" x14ac:dyDescent="0.25">
      <c r="A21" s="4">
        <f t="shared" si="0"/>
        <v>44108</v>
      </c>
      <c r="C21" s="46">
        <f>+'[3]20-21 RW Catskills Monthly'!C20+'[4]del Lago Monthly FY 20-21'!C20+'[1]20-21 Tioga Monthly'!C20+'[2]20-21 Rivers Monthly'!C20</f>
        <v>370574176.87</v>
      </c>
      <c r="D21" s="46">
        <f>+'[3]20-21 RW Catskills Monthly'!D20+'[4]del Lago Monthly FY 20-21'!D20+'[1]20-21 Tioga Monthly'!D20+'[2]20-21 Rivers Monthly'!D20</f>
        <v>4921095.9700000007</v>
      </c>
      <c r="E21" s="46">
        <f>+'[3]20-21 RW Catskills Monthly'!E20+'[4]del Lago Monthly FY 20-21'!E20+'[1]20-21 Tioga Monthly'!E20+'[2]20-21 Rivers Monthly'!E20</f>
        <v>336859395.45999998</v>
      </c>
      <c r="F21" s="46">
        <f>+'[3]20-21 RW Catskills Monthly'!F20+'[4]del Lago Monthly FY 20-21'!F20+'[1]20-21 Tioga Monthly'!F20+'[2]20-21 Rivers Monthly'!F20</f>
        <v>28793685.440000001</v>
      </c>
      <c r="G21" s="46"/>
      <c r="H21" s="49">
        <f>+'[3]20-21 RW Catskills Monthly'!H20+'[4]del Lago Monthly FY 20-21'!H20+'[1]20-21 Tioga Monthly'!H20+'[2]20-21 Rivers Monthly'!H20</f>
        <v>3281.02</v>
      </c>
      <c r="I21" s="46">
        <f>+F21/H21/31</f>
        <v>283.09140528879595</v>
      </c>
      <c r="J21" s="48"/>
      <c r="K21" s="48"/>
      <c r="L21" s="49">
        <f>+'[3]20-21 RW Catskills Monthly'!L20+'[4]del Lago Monthly FY 20-21'!L20+'[1]20-21 Tioga Monthly'!L20+'[2]20-21 Rivers Monthly'!L20</f>
        <v>138.51</v>
      </c>
      <c r="M21" s="53">
        <f>+'[3]20-21 RW Catskills Monthly'!M20+'[4]del Lago Monthly FY 20-21'!M20+'[1]20-21 Tioga Monthly'!M20+'[2]20-21 Rivers Monthly'!M20</f>
        <v>44251652.75</v>
      </c>
      <c r="N21" s="53">
        <f>+'[3]20-21 RW Catskills Monthly'!N20+'[4]del Lago Monthly FY 20-21'!N20+'[1]20-21 Tioga Monthly'!N20+'[2]20-21 Rivers Monthly'!N20</f>
        <v>191005</v>
      </c>
      <c r="O21" s="53">
        <f>+'[3]20-21 RW Catskills Monthly'!O20+'[4]del Lago Monthly FY 20-21'!O20+'[1]20-21 Tioga Monthly'!O20+'[2]20-21 Rivers Monthly'!O20</f>
        <v>7666520.7300000004</v>
      </c>
      <c r="P21" s="49"/>
      <c r="Q21" s="57">
        <f>+'[3]20-21 RW Catskills Monthly'!Q20+'[4]del Lago Monthly FY 20-21'!Q20+'[1]20-21 Tioga Monthly'!Q20+'[2]20-21 Rivers Monthly'!Q20</f>
        <v>0</v>
      </c>
      <c r="R21" s="58">
        <f>+'[3]20-21 RW Catskills Monthly'!R20+'[4]del Lago Monthly FY 20-21'!R20+'[1]20-21 Tioga Monthly'!R20+'[2]20-21 Rivers Monthly'!R20</f>
        <v>0</v>
      </c>
      <c r="S21" s="49"/>
      <c r="T21" s="53">
        <v>18833658.550000001</v>
      </c>
      <c r="U21" s="53">
        <f>+'[3]20-21 RW Catskills Monthly'!T20+'[4]del Lago Monthly FY 20-21'!T20+'[1]20-21 Tioga Monthly'!T20+'[2]20-21 Rivers Monthly'!T20</f>
        <v>2623464.0300000003</v>
      </c>
      <c r="V21"/>
      <c r="W21" s="46">
        <f>+'[3]20-21 RW Catskills Monthly'!V20+'[4]del Lago Monthly FY 20-21'!V20+'[1]20-21 Tioga Monthly'!V20+'[2]20-21 Rivers Monthly'!V20</f>
        <v>39083670.200000003</v>
      </c>
      <c r="X21" s="30">
        <f>+'[1]20-21 Tioga Monthly'!C42+'[2]20-21 Rivers Monthly'!C42+'[3]20-21 RW Catskills Monthly'!C42+'[4]del Lago Monthly FY 20-21'!C42</f>
        <v>26600381.997000001</v>
      </c>
      <c r="Y21" s="30">
        <f>+'[1]20-21 Tioga Monthly'!D42+'[2]20-21 Rivers Monthly'!D42+'[3]20-21 RW Catskills Monthly'!D42+'[4]del Lago Monthly FY 20-21'!D42</f>
        <v>12483288.203000002</v>
      </c>
      <c r="Z21" s="30">
        <f>+'[1]20-21 Tioga Monthly'!E42+'[2]20-21 Rivers Monthly'!E42+'[3]20-21 RW Catskills Monthly'!E42+'[4]del Lago Monthly FY 20-21'!E42</f>
        <v>65091.28</v>
      </c>
      <c r="AA21" s="30">
        <f>+'[3]20-21 RW Catskills Monthly'!F42+'[4]del Lago Monthly FY 20-21'!F42+'[1]20-21 Tioga Monthly'!F42+'[2]20-21 Rivers Monthly'!F42</f>
        <v>16822</v>
      </c>
      <c r="AE21" s="46"/>
    </row>
    <row r="22" spans="1:31" x14ac:dyDescent="0.25">
      <c r="A22" s="4">
        <f t="shared" si="0"/>
        <v>44139</v>
      </c>
      <c r="C22" s="46">
        <f>+'[3]20-21 RW Catskills Monthly'!C21+'[4]del Lago Monthly FY 20-21'!C21+'[1]20-21 Tioga Monthly'!C21+'[2]20-21 Rivers Monthly'!C21</f>
        <v>309895087.81</v>
      </c>
      <c r="D22" s="46">
        <f>+'[3]20-21 RW Catskills Monthly'!D21+'[4]del Lago Monthly FY 20-21'!D21+'[1]20-21 Tioga Monthly'!D21+'[2]20-21 Rivers Monthly'!D21</f>
        <v>4327818.58</v>
      </c>
      <c r="E22" s="46">
        <f>+'[3]20-21 RW Catskills Monthly'!E21+'[4]del Lago Monthly FY 20-21'!E21+'[1]20-21 Tioga Monthly'!E21+'[2]20-21 Rivers Monthly'!E21</f>
        <v>281975010.58000004</v>
      </c>
      <c r="F22" s="46">
        <f>+'[3]20-21 RW Catskills Monthly'!F21+'[4]del Lago Monthly FY 20-21'!F21+'[1]20-21 Tioga Monthly'!F21+'[2]20-21 Rivers Monthly'!F21</f>
        <v>23592258.599999998</v>
      </c>
      <c r="G22" s="46"/>
      <c r="H22" s="49">
        <f>+'[3]20-21 RW Catskills Monthly'!H21+'[4]del Lago Monthly FY 20-21'!H21+'[1]20-21 Tioga Monthly'!H21+'[2]20-21 Rivers Monthly'!H21</f>
        <v>3625.6</v>
      </c>
      <c r="I22" s="46">
        <f>+F22/H22/30</f>
        <v>216.90440754633715</v>
      </c>
      <c r="J22" s="48"/>
      <c r="K22" s="48"/>
      <c r="L22" s="49">
        <f>+'[3]20-21 RW Catskills Monthly'!L21+'[4]del Lago Monthly FY 20-21'!L21+'[1]20-21 Tioga Monthly'!L21+'[2]20-21 Rivers Monthly'!L21</f>
        <v>149.72999999999999</v>
      </c>
      <c r="M22" s="53">
        <f>+'[3]20-21 RW Catskills Monthly'!M21+'[4]del Lago Monthly FY 20-21'!M21+'[1]20-21 Tioga Monthly'!M21+'[2]20-21 Rivers Monthly'!M21</f>
        <v>40713866.280000001</v>
      </c>
      <c r="N22" s="53">
        <f>+'[3]20-21 RW Catskills Monthly'!N21+'[4]del Lago Monthly FY 20-21'!N21+'[1]20-21 Tioga Monthly'!N21+'[2]20-21 Rivers Monthly'!N21</f>
        <v>172520</v>
      </c>
      <c r="O22" s="53">
        <f>+'[3]20-21 RW Catskills Monthly'!O21+'[4]del Lago Monthly FY 20-21'!O21+'[1]20-21 Tioga Monthly'!O21+'[2]20-21 Rivers Monthly'!O21</f>
        <v>7043093.7699999996</v>
      </c>
      <c r="P22" s="49"/>
      <c r="Q22" s="57">
        <f>+'[3]20-21 RW Catskills Monthly'!Q21+'[4]del Lago Monthly FY 20-21'!Q21+'[1]20-21 Tioga Monthly'!Q21+'[2]20-21 Rivers Monthly'!Q21</f>
        <v>0</v>
      </c>
      <c r="R22" s="58">
        <f>+'[3]20-21 RW Catskills Monthly'!R21+'[4]del Lago Monthly FY 20-21'!R21+'[1]20-21 Tioga Monthly'!R21+'[2]20-21 Rivers Monthly'!R21</f>
        <v>0</v>
      </c>
      <c r="S22" s="49"/>
      <c r="T22" s="53">
        <v>17138222.459999997</v>
      </c>
      <c r="U22" s="53">
        <f>+'[3]20-21 RW Catskills Monthly'!T21+'[4]del Lago Monthly FY 20-21'!T21+'[1]20-21 Tioga Monthly'!T21+'[2]20-21 Rivers Monthly'!T21</f>
        <v>2619676.46</v>
      </c>
      <c r="V22"/>
      <c r="W22" s="46">
        <f>+'[3]20-21 RW Catskills Monthly'!V21+'[4]del Lago Monthly FY 20-21'!V21+'[1]20-21 Tioga Monthly'!V21+'[2]20-21 Rivers Monthly'!V21</f>
        <v>33255028.829999998</v>
      </c>
      <c r="X22" s="30">
        <f>+'[1]20-21 Tioga Monthly'!C43+'[2]20-21 Rivers Monthly'!C43+'[3]20-21 RW Catskills Monthly'!C43+'[4]del Lago Monthly FY 20-21'!C43</f>
        <v>22883201.348200001</v>
      </c>
      <c r="Y22" s="30">
        <f>+'[1]20-21 Tioga Monthly'!D43+'[2]20-21 Rivers Monthly'!D43+'[3]20-21 RW Catskills Monthly'!D43+'[4]del Lago Monthly FY 20-21'!D43</f>
        <v>10371827.481800001</v>
      </c>
      <c r="Z22" s="30">
        <f>+'[1]20-21 Tioga Monthly'!E43+'[2]20-21 Rivers Monthly'!E43+'[3]20-21 RW Catskills Monthly'!E43+'[4]del Lago Monthly FY 20-21'!E43</f>
        <v>62856.47</v>
      </c>
      <c r="AA22" s="30">
        <f>+'[3]20-21 RW Catskills Monthly'!F43+'[4]del Lago Monthly FY 20-21'!F43+'[1]20-21 Tioga Monthly'!F43+'[2]20-21 Rivers Monthly'!F43</f>
        <v>29478.7</v>
      </c>
      <c r="AE22" s="46"/>
    </row>
    <row r="23" spans="1:31" x14ac:dyDescent="0.25">
      <c r="A23" s="4">
        <f t="shared" si="0"/>
        <v>44170</v>
      </c>
      <c r="C23" s="46">
        <f>+'[3]20-21 RW Catskills Monthly'!C22+'[4]del Lago Monthly FY 20-21'!C22+'[1]20-21 Tioga Monthly'!C22+'[2]20-21 Rivers Monthly'!C22</f>
        <v>287182349.74000001</v>
      </c>
      <c r="D23" s="46">
        <f>+'[3]20-21 RW Catskills Monthly'!D22+'[4]del Lago Monthly FY 20-21'!D22+'[1]20-21 Tioga Monthly'!D22+'[2]20-21 Rivers Monthly'!D22</f>
        <v>4087135.2</v>
      </c>
      <c r="E23" s="46">
        <f>+'[3]20-21 RW Catskills Monthly'!E22+'[4]del Lago Monthly FY 20-21'!E22+'[1]20-21 Tioga Monthly'!E22+'[2]20-21 Rivers Monthly'!E22</f>
        <v>262232319.13</v>
      </c>
      <c r="F23" s="46">
        <f>+'[3]20-21 RW Catskills Monthly'!F22+'[4]del Lago Monthly FY 20-21'!F22+'[1]20-21 Tioga Monthly'!F22+'[2]20-21 Rivers Monthly'!F22</f>
        <v>20862895.41</v>
      </c>
      <c r="G23" s="46"/>
      <c r="H23" s="49">
        <f>+'[3]20-21 RW Catskills Monthly'!H22+'[4]del Lago Monthly FY 20-21'!H22+'[1]20-21 Tioga Monthly'!H22+'[2]20-21 Rivers Monthly'!H22</f>
        <v>3733.54</v>
      </c>
      <c r="I23" s="46">
        <f>+F23/H23/31</f>
        <v>180.25697491630791</v>
      </c>
      <c r="J23" s="48"/>
      <c r="K23" s="48"/>
      <c r="L23" s="49">
        <f>+'[3]20-21 RW Catskills Monthly'!L22+'[4]del Lago Monthly FY 20-21'!L22+'[1]20-21 Tioga Monthly'!L22+'[2]20-21 Rivers Monthly'!L22</f>
        <v>156.57999999999998</v>
      </c>
      <c r="M23" s="53">
        <f>+'[3]20-21 RW Catskills Monthly'!M22+'[4]del Lago Monthly FY 20-21'!M22+'[1]20-21 Tioga Monthly'!M22+'[2]20-21 Rivers Monthly'!M22</f>
        <v>44266568.25</v>
      </c>
      <c r="N23" s="53">
        <f>+'[3]20-21 RW Catskills Monthly'!N22+'[4]del Lago Monthly FY 20-21'!N22+'[1]20-21 Tioga Monthly'!N22+'[2]20-21 Rivers Monthly'!N22</f>
        <v>256835</v>
      </c>
      <c r="O23" s="53">
        <f>+'[3]20-21 RW Catskills Monthly'!O22+'[4]del Lago Monthly FY 20-21'!O22+'[1]20-21 Tioga Monthly'!O22+'[2]20-21 Rivers Monthly'!O22</f>
        <v>7526680.8200000003</v>
      </c>
      <c r="P23" s="49"/>
      <c r="Q23" s="57">
        <f>+'[3]20-21 RW Catskills Monthly'!Q22+'[4]del Lago Monthly FY 20-21'!Q22+'[1]20-21 Tioga Monthly'!Q22+'[2]20-21 Rivers Monthly'!Q22</f>
        <v>0</v>
      </c>
      <c r="R23" s="58">
        <f>+'[3]20-21 RW Catskills Monthly'!R22+'[4]del Lago Monthly FY 20-21'!R22+'[1]20-21 Tioga Monthly'!R22+'[2]20-21 Rivers Monthly'!R22</f>
        <v>0</v>
      </c>
      <c r="S23" s="49"/>
      <c r="T23" s="53">
        <v>18181041.870000001</v>
      </c>
      <c r="U23" s="53">
        <f>+'[3]20-21 RW Catskills Monthly'!T22+'[4]del Lago Monthly FY 20-21'!T22+'[1]20-21 Tioga Monthly'!T22+'[2]20-21 Rivers Monthly'!T22</f>
        <v>2258770.7800000003</v>
      </c>
      <c r="V23"/>
      <c r="W23" s="46">
        <f>+'[3]20-21 RW Catskills Monthly'!V22+'[4]del Lago Monthly FY 20-21'!V22+'[1]20-21 Tioga Monthly'!V22+'[2]20-21 Rivers Monthly'!V22</f>
        <v>30648347.010000005</v>
      </c>
      <c r="X23" s="30">
        <f>+'[1]20-21 Tioga Monthly'!C44+'[2]20-21 Rivers Monthly'!C44+'[3]20-21 RW Catskills Monthly'!C44+'[4]del Lago Monthly FY 20-21'!C44</f>
        <v>21339381.5405</v>
      </c>
      <c r="Y23" s="30">
        <f>+'[1]20-21 Tioga Monthly'!D44+'[2]20-21 Rivers Monthly'!D44+'[3]20-21 RW Catskills Monthly'!D44+'[4]del Lago Monthly FY 20-21'!D44</f>
        <v>9308965.4695000015</v>
      </c>
      <c r="Z23" s="30">
        <f>+'[1]20-21 Tioga Monthly'!E44+'[2]20-21 Rivers Monthly'!E44+'[3]20-21 RW Catskills Monthly'!E44+'[4]del Lago Monthly FY 20-21'!E44</f>
        <v>94660.32</v>
      </c>
      <c r="AA23" s="30">
        <f>+'[3]20-21 RW Catskills Monthly'!F44+'[4]del Lago Monthly FY 20-21'!F44+'[1]20-21 Tioga Monthly'!F44+'[2]20-21 Rivers Monthly'!F44</f>
        <v>67939.73</v>
      </c>
      <c r="AE23" s="46"/>
    </row>
    <row r="24" spans="1:31" x14ac:dyDescent="0.25">
      <c r="A24" s="4">
        <f t="shared" si="0"/>
        <v>44201</v>
      </c>
      <c r="C24" s="46">
        <f>+'[3]20-21 RW Catskills Monthly'!C23+'[4]del Lago Monthly FY 20-21'!C23+'[1]20-21 Tioga Monthly'!C23+'[2]20-21 Rivers Monthly'!C23</f>
        <v>354040823.81</v>
      </c>
      <c r="D24" s="46">
        <f>+'[3]20-21 RW Catskills Monthly'!D23+'[4]del Lago Monthly FY 20-21'!D23+'[1]20-21 Tioga Monthly'!D23+'[2]20-21 Rivers Monthly'!D23</f>
        <v>4666017.9800000004</v>
      </c>
      <c r="E24" s="46">
        <f>+'[3]20-21 RW Catskills Monthly'!E23+'[4]del Lago Monthly FY 20-21'!E23+'[1]20-21 Tioga Monthly'!E23+'[2]20-21 Rivers Monthly'!E23</f>
        <v>322104199.08000004</v>
      </c>
      <c r="F24" s="46">
        <f>+'[3]20-21 RW Catskills Monthly'!F23+'[4]del Lago Monthly FY 20-21'!F23+'[1]20-21 Tioga Monthly'!F23+'[2]20-21 Rivers Monthly'!F23</f>
        <v>27270606.75</v>
      </c>
      <c r="G24" s="46"/>
      <c r="H24" s="49">
        <f>+'[3]20-21 RW Catskills Monthly'!H23+'[4]del Lago Monthly FY 20-21'!H23+'[1]20-21 Tioga Monthly'!H23+'[2]20-21 Rivers Monthly'!H23</f>
        <v>3763.05</v>
      </c>
      <c r="I24" s="46">
        <f>+F24/H24/31</f>
        <v>233.77233678412028</v>
      </c>
      <c r="J24" s="48"/>
      <c r="K24" s="48"/>
      <c r="L24" s="49">
        <f>+'[3]20-21 RW Catskills Monthly'!L23+'[4]del Lago Monthly FY 20-21'!L23+'[1]20-21 Tioga Monthly'!L23+'[2]20-21 Rivers Monthly'!L23</f>
        <v>157.38</v>
      </c>
      <c r="M24" s="53">
        <f>+'[3]20-21 RW Catskills Monthly'!M23+'[4]del Lago Monthly FY 20-21'!M23+'[1]20-21 Tioga Monthly'!M23+'[2]20-21 Rivers Monthly'!M23</f>
        <v>43437405</v>
      </c>
      <c r="N24" s="53">
        <f>+'[3]20-21 RW Catskills Monthly'!N23+'[4]del Lago Monthly FY 20-21'!N23+'[1]20-21 Tioga Monthly'!N23+'[2]20-21 Rivers Monthly'!N23</f>
        <v>274820</v>
      </c>
      <c r="O24" s="53">
        <f>+'[3]20-21 RW Catskills Monthly'!O23+'[4]del Lago Monthly FY 20-21'!O23+'[1]20-21 Tioga Monthly'!O23+'[2]20-21 Rivers Monthly'!O23</f>
        <v>6359999.2300000004</v>
      </c>
      <c r="P24" s="49"/>
      <c r="Q24" s="57">
        <f>+'[3]20-21 RW Catskills Monthly'!Q23+'[4]del Lago Monthly FY 20-21'!Q23+'[1]20-21 Tioga Monthly'!Q23+'[2]20-21 Rivers Monthly'!Q23</f>
        <v>0</v>
      </c>
      <c r="R24" s="58">
        <f>+'[3]20-21 RW Catskills Monthly'!R23+'[4]del Lago Monthly FY 20-21'!R23+'[1]20-21 Tioga Monthly'!R23+'[2]20-21 Rivers Monthly'!R23</f>
        <v>0</v>
      </c>
      <c r="S24" s="49"/>
      <c r="T24" s="53">
        <v>21281118.230000004</v>
      </c>
      <c r="U24" s="46">
        <f>+'[3]20-21 RW Catskills Monthly'!T23+'[4]del Lago Monthly FY 20-21'!T23+'[1]20-21 Tioga Monthly'!T23+'[2]20-21 Rivers Monthly'!T23</f>
        <v>3569855.0600000005</v>
      </c>
      <c r="V24"/>
      <c r="W24" s="46">
        <f>+'[3]20-21 RW Catskills Monthly'!V23+'[4]del Lago Monthly FY 20-21'!V23+'[1]20-21 Tioga Monthly'!V23+'[2]20-21 Rivers Monthly'!V23</f>
        <v>37200461.039999999</v>
      </c>
      <c r="X24" s="30">
        <f>+'[1]20-21 Tioga Monthly'!C45+'[2]20-21 Rivers Monthly'!C45+'[3]20-21 RW Catskills Monthly'!C45+'[4]del Lago Monthly FY 20-21'!C45</f>
        <v>25326424.925700001</v>
      </c>
      <c r="Y24" s="30">
        <f>+'[1]20-21 Tioga Monthly'!D45+'[2]20-21 Rivers Monthly'!D45+'[3]20-21 RW Catskills Monthly'!D45+'[4]del Lago Monthly FY 20-21'!D45</f>
        <v>11874036.1143</v>
      </c>
      <c r="Z24" s="30">
        <f>+'[1]20-21 Tioga Monthly'!E45+'[2]20-21 Rivers Monthly'!E45+'[3]20-21 RW Catskills Monthly'!E45+'[4]del Lago Monthly FY 20-21'!E45</f>
        <v>69471.11</v>
      </c>
      <c r="AA24" s="30">
        <f>+'[3]20-21 RW Catskills Monthly'!F45+'[4]del Lago Monthly FY 20-21'!F45+'[1]20-21 Tioga Monthly'!F45+'[2]20-21 Rivers Monthly'!F45</f>
        <v>25.48</v>
      </c>
      <c r="AE24" s="46"/>
    </row>
    <row r="25" spans="1:31" x14ac:dyDescent="0.25">
      <c r="A25" s="4">
        <f t="shared" si="0"/>
        <v>44232</v>
      </c>
      <c r="C25" s="46">
        <f>+'[3]20-21 RW Catskills Monthly'!C24+'[4]del Lago Monthly FY 20-21'!C24+'[1]20-21 Tioga Monthly'!C24+'[2]20-21 Rivers Monthly'!C24</f>
        <v>336722396.25999999</v>
      </c>
      <c r="D25" s="46">
        <f>+'[3]20-21 RW Catskills Monthly'!D24+'[4]del Lago Monthly FY 20-21'!D24+'[1]20-21 Tioga Monthly'!D24+'[2]20-21 Rivers Monthly'!D24</f>
        <v>3897925.04</v>
      </c>
      <c r="E25" s="46">
        <f>+'[3]20-21 RW Catskills Monthly'!E24+'[4]del Lago Monthly FY 20-21'!E24+'[1]20-21 Tioga Monthly'!E24+'[2]20-21 Rivers Monthly'!E24</f>
        <v>306259504.81</v>
      </c>
      <c r="F25" s="46">
        <f>+'[3]20-21 RW Catskills Monthly'!F24+'[4]del Lago Monthly FY 20-21'!F24+'[1]20-21 Tioga Monthly'!F24+'[2]20-21 Rivers Monthly'!F24</f>
        <v>26564966.410000004</v>
      </c>
      <c r="G25" s="46"/>
      <c r="H25" s="49">
        <f>+'[3]20-21 RW Catskills Monthly'!H24+'[4]del Lago Monthly FY 20-21'!H24+'[1]20-21 Tioga Monthly'!H24+'[2]20-21 Rivers Monthly'!H24</f>
        <v>3759.77</v>
      </c>
      <c r="I25" s="46">
        <f>+F25/H25/28</f>
        <v>252.34224443440505</v>
      </c>
      <c r="J25" s="48"/>
      <c r="K25" s="48"/>
      <c r="L25" s="49">
        <f>+'[3]20-21 RW Catskills Monthly'!L24+'[4]del Lago Monthly FY 20-21'!L24+'[1]20-21 Tioga Monthly'!L24+'[2]20-21 Rivers Monthly'!L24</f>
        <v>153.73000000000002</v>
      </c>
      <c r="M25" s="53">
        <f>+'[3]20-21 RW Catskills Monthly'!M24+'[4]del Lago Monthly FY 20-21'!M24+'[1]20-21 Tioga Monthly'!M24+'[2]20-21 Rivers Monthly'!M24</f>
        <v>41772441</v>
      </c>
      <c r="N25" s="53">
        <f>+'[3]20-21 RW Catskills Monthly'!N24+'[4]del Lago Monthly FY 20-21'!N24+'[1]20-21 Tioga Monthly'!N24+'[2]20-21 Rivers Monthly'!N24</f>
        <v>284245</v>
      </c>
      <c r="O25" s="53">
        <f>+'[3]20-21 RW Catskills Monthly'!O24+'[4]del Lago Monthly FY 20-21'!O24+'[1]20-21 Tioga Monthly'!O24+'[2]20-21 Rivers Monthly'!O24</f>
        <v>6487228.7999999998</v>
      </c>
      <c r="P25" s="49"/>
      <c r="Q25" s="57">
        <f>+'[3]20-21 RW Catskills Monthly'!Q24+'[4]del Lago Monthly FY 20-21'!Q24+'[1]20-21 Tioga Monthly'!Q24+'[2]20-21 Rivers Monthly'!Q24</f>
        <v>0</v>
      </c>
      <c r="R25" s="58">
        <f>+'[3]20-21 RW Catskills Monthly'!R24+'[4]del Lago Monthly FY 20-21'!R24+'[1]20-21 Tioga Monthly'!R24+'[2]20-21 Rivers Monthly'!R24</f>
        <v>0</v>
      </c>
      <c r="S25" s="49"/>
      <c r="T25" s="53">
        <v>13709246.969999995</v>
      </c>
      <c r="U25" s="46">
        <f>+'[3]20-21 RW Catskills Monthly'!T24+'[4]del Lago Monthly FY 20-21'!T24+'[1]20-21 Tioga Monthly'!T24+'[2]20-21 Rivers Monthly'!T24</f>
        <v>1153274.8900000001</v>
      </c>
      <c r="V25"/>
      <c r="W25" s="46">
        <f>+'[3]20-21 RW Catskills Monthly'!V24+'[4]del Lago Monthly FY 20-21'!V24+'[1]20-21 Tioga Monthly'!V24+'[2]20-21 Rivers Monthly'!V24</f>
        <v>34205470.100000001</v>
      </c>
      <c r="X25" s="30">
        <f>+'[1]20-21 Tioga Monthly'!C46+'[2]20-21 Rivers Monthly'!C46+'[3]20-21 RW Catskills Monthly'!C46+'[4]del Lago Monthly FY 20-21'!C46</f>
        <v>22852535.0493</v>
      </c>
      <c r="Y25" s="30">
        <f>+'[1]20-21 Tioga Monthly'!D46+'[2]20-21 Rivers Monthly'!D46+'[3]20-21 RW Catskills Monthly'!D46+'[4]del Lago Monthly FY 20-21'!D46</f>
        <v>11352935.0507</v>
      </c>
      <c r="Z25" s="30">
        <f>+'[1]20-21 Tioga Monthly'!E46+'[2]20-21 Rivers Monthly'!E46+'[3]20-21 RW Catskills Monthly'!E46+'[4]del Lago Monthly FY 20-21'!E46</f>
        <v>123704.49</v>
      </c>
      <c r="AA25" s="30">
        <f>+'[3]20-21 RW Catskills Monthly'!F46+'[4]del Lago Monthly FY 20-21'!F46+'[1]20-21 Tioga Monthly'!F46+'[2]20-21 Rivers Monthly'!F46</f>
        <v>6000</v>
      </c>
      <c r="AE25" s="46"/>
    </row>
    <row r="26" spans="1:31" x14ac:dyDescent="0.25">
      <c r="A26" s="4">
        <f t="shared" si="0"/>
        <v>44263</v>
      </c>
      <c r="C26" s="46">
        <f>+'[3]20-21 RW Catskills Monthly'!C25+'[4]del Lago Monthly FY 20-21'!C25+'[1]20-21 Tioga Monthly'!C25+'[2]20-21 Rivers Monthly'!C25</f>
        <v>441771319.57999998</v>
      </c>
      <c r="D26" s="46">
        <f>+'[3]20-21 RW Catskills Monthly'!D25+'[4]del Lago Monthly FY 20-21'!D25+'[1]20-21 Tioga Monthly'!D25+'[2]20-21 Rivers Monthly'!D25</f>
        <v>4399157.4899999993</v>
      </c>
      <c r="E26" s="46">
        <f>+'[3]20-21 RW Catskills Monthly'!E25+'[4]del Lago Monthly FY 20-21'!E25+'[1]20-21 Tioga Monthly'!E25+'[2]20-21 Rivers Monthly'!E25</f>
        <v>401770426.15000004</v>
      </c>
      <c r="F26" s="46">
        <f>+'[3]20-21 RW Catskills Monthly'!F25+'[4]del Lago Monthly FY 20-21'!F25+'[1]20-21 Tioga Monthly'!F25+'[2]20-21 Rivers Monthly'!F25</f>
        <v>35601735.939999998</v>
      </c>
      <c r="G26" s="46"/>
      <c r="H26" s="49">
        <f>+'[3]20-21 RW Catskills Monthly'!H25+'[4]del Lago Monthly FY 20-21'!H25+'[1]20-21 Tioga Monthly'!H25+'[2]20-21 Rivers Monthly'!H25</f>
        <v>3850.3</v>
      </c>
      <c r="I26" s="46">
        <f>+F26/H26/31</f>
        <v>298.27366564649753</v>
      </c>
      <c r="J26" s="48"/>
      <c r="K26" s="48"/>
      <c r="L26" s="49">
        <f>+'[3]20-21 RW Catskills Monthly'!L25+'[4]del Lago Monthly FY 20-21'!L25+'[1]20-21 Tioga Monthly'!L25+'[2]20-21 Rivers Monthly'!L25</f>
        <v>157.99</v>
      </c>
      <c r="M26" s="53">
        <f>+'[3]20-21 RW Catskills Monthly'!M25+'[4]del Lago Monthly FY 20-21'!M25+'[1]20-21 Tioga Monthly'!M25+'[2]20-21 Rivers Monthly'!M25</f>
        <v>50757894.5</v>
      </c>
      <c r="N26" s="53">
        <f>+'[3]20-21 RW Catskills Monthly'!N25+'[4]del Lago Monthly FY 20-21'!N25+'[1]20-21 Tioga Monthly'!N25+'[2]20-21 Rivers Monthly'!N25</f>
        <v>282965</v>
      </c>
      <c r="O26" s="53">
        <f>+'[3]20-21 RW Catskills Monthly'!O25+'[4]del Lago Monthly FY 20-21'!O25+'[1]20-21 Tioga Monthly'!O25+'[2]20-21 Rivers Monthly'!O25</f>
        <v>8483357.7699999996</v>
      </c>
      <c r="P26" s="49"/>
      <c r="Q26" s="57">
        <f>+'[3]20-21 RW Catskills Monthly'!Q25+'[4]del Lago Monthly FY 20-21'!Q25+'[1]20-21 Tioga Monthly'!Q25+'[2]20-21 Rivers Monthly'!Q25</f>
        <v>0</v>
      </c>
      <c r="R26" s="58">
        <f>+'[3]20-21 RW Catskills Monthly'!R25+'[4]del Lago Monthly FY 20-21'!R25+'[1]20-21 Tioga Monthly'!R25+'[2]20-21 Rivers Monthly'!R25</f>
        <v>0</v>
      </c>
      <c r="S26" s="49"/>
      <c r="T26" s="53">
        <v>16337478.74</v>
      </c>
      <c r="U26" s="46">
        <f>+'[3]20-21 RW Catskills Monthly'!T25+'[4]del Lago Monthly FY 20-21'!T25+'[1]20-21 Tioga Monthly'!T25+'[2]20-21 Rivers Monthly'!T25</f>
        <v>1845684.33</v>
      </c>
      <c r="V26"/>
      <c r="W26" s="46">
        <f>+'[3]20-21 RW Catskills Monthly'!V25+'[4]del Lago Monthly FY 20-21'!V25+'[1]20-21 Tioga Monthly'!V25+'[2]20-21 Rivers Monthly'!V25</f>
        <v>45930778.039999999</v>
      </c>
      <c r="X26" s="30">
        <f>+'[1]20-21 Tioga Monthly'!C47+'[2]20-21 Rivers Monthly'!C47+'[3]20-21 RW Catskills Monthly'!C47+'[4]del Lago Monthly FY 20-21'!C47</f>
        <v>30705566.455600001</v>
      </c>
      <c r="Y26" s="30">
        <f>+'[1]20-21 Tioga Monthly'!D47+'[2]20-21 Rivers Monthly'!D47+'[3]20-21 RW Catskills Monthly'!D47+'[4]del Lago Monthly FY 20-21'!D47</f>
        <v>15225211.584400002</v>
      </c>
      <c r="Z26" s="30">
        <f>+'[1]20-21 Tioga Monthly'!E47+'[2]20-21 Rivers Monthly'!E47+'[3]20-21 RW Catskills Monthly'!E47+'[4]del Lago Monthly FY 20-21'!E47</f>
        <v>88854.75</v>
      </c>
      <c r="AA26" s="54">
        <f>+'[3]20-21 RW Catskills Monthly'!F47+'[4]del Lago Monthly FY 20-21'!F47+'[1]20-21 Tioga Monthly'!F47+'[2]20-21 Rivers Monthly'!F47</f>
        <v>0</v>
      </c>
      <c r="AE26" s="46"/>
    </row>
    <row r="27" spans="1:31" ht="15.75" thickBot="1" x14ac:dyDescent="0.3">
      <c r="A27" s="4" t="s">
        <v>22</v>
      </c>
      <c r="C27" s="50">
        <f>SUM(C15:C26)</f>
        <v>2348393575.8600001</v>
      </c>
      <c r="D27" s="50">
        <f t="shared" ref="D27:E27" si="1">SUM(D15:D26)</f>
        <v>27903965.82</v>
      </c>
      <c r="E27" s="50">
        <f t="shared" si="1"/>
        <v>2136794616.5700002</v>
      </c>
      <c r="F27" s="50">
        <f>SUM(F15:F26)</f>
        <v>183694993.41999999</v>
      </c>
      <c r="G27" s="50"/>
      <c r="H27" s="51">
        <f>+'[3]20-21 RW Catskills Monthly'!H26+'[4]del Lago Monthly FY 20-21'!H26+'[1]20-21 Tioga Monthly'!H26+'[2]20-21 Rivers Monthly'!H26</f>
        <v>3567.63</v>
      </c>
      <c r="I27" s="52">
        <f>+F27/H27/204</f>
        <v>252.39883452589189</v>
      </c>
      <c r="J27" s="48"/>
      <c r="K27" s="46"/>
      <c r="L27" s="51">
        <f>+AVERAGE(L20:L26)</f>
        <v>144.13142857142856</v>
      </c>
      <c r="M27" s="50">
        <f>SUM(M15:M26)</f>
        <v>283857447.77999997</v>
      </c>
      <c r="N27" s="50">
        <f t="shared" ref="N27:O27" si="2">SUM(N15:N26)</f>
        <v>1520040</v>
      </c>
      <c r="O27" s="50">
        <f t="shared" si="2"/>
        <v>47274758.450000003</v>
      </c>
      <c r="P27" s="46"/>
      <c r="Q27" s="51">
        <f>+AVERAGE(Q15:Q26)</f>
        <v>0</v>
      </c>
      <c r="R27" s="50">
        <f>SUM(R15:R26)</f>
        <v>0</v>
      </c>
      <c r="S27" s="46"/>
      <c r="T27" s="50">
        <f>SUM(T15:T26)</f>
        <v>116647499.99000001</v>
      </c>
      <c r="U27" s="50">
        <f>SUM(U15:U26)</f>
        <v>15474269.190000001</v>
      </c>
      <c r="V27" s="46"/>
      <c r="W27" s="50">
        <f>SUM(W15:W26)</f>
        <v>246444021.06</v>
      </c>
      <c r="X27" s="29">
        <f>SUM(X15:X26)</f>
        <v>166907367.47059998</v>
      </c>
      <c r="Y27" s="29">
        <f>SUM(Y15:Y26)</f>
        <v>79536653.589400008</v>
      </c>
      <c r="Z27" s="29">
        <f>SUM(Z15:Z26)</f>
        <v>558858.29</v>
      </c>
      <c r="AA27" s="45">
        <f t="shared" ref="AA27" si="3">SUM(AA15:AA26)</f>
        <v>123797.18</v>
      </c>
    </row>
    <row r="28" spans="1:31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X28" s="30"/>
      <c r="Y28" s="33"/>
      <c r="Z28" s="33"/>
      <c r="AA28" s="33"/>
    </row>
    <row r="29" spans="1:31" s="35" customFormat="1" x14ac:dyDescent="0.25">
      <c r="A29" s="32"/>
      <c r="B29" s="32"/>
      <c r="C29" s="33"/>
      <c r="D29" s="34">
        <f>D27/C27</f>
        <v>1.1882150465252124E-2</v>
      </c>
      <c r="E29" s="34">
        <f>E27/C27</f>
        <v>0.90989629614681999</v>
      </c>
      <c r="F29" s="34">
        <f>F27/C27</f>
        <v>7.822155336663679E-2</v>
      </c>
      <c r="G29" s="34"/>
      <c r="H29" s="33"/>
      <c r="L29" s="33"/>
      <c r="M29" s="33"/>
      <c r="N29" s="33"/>
      <c r="O29" s="33">
        <f>O27/$M$27</f>
        <v>0.16654401291820142</v>
      </c>
      <c r="P29" s="33"/>
      <c r="Q29" s="33"/>
      <c r="R29" s="33"/>
      <c r="X29" s="33">
        <f>X27/$W$27</f>
        <v>0.677262798881066</v>
      </c>
      <c r="Y29" s="33">
        <f>Y27/$W$27</f>
        <v>0.32273720111893395</v>
      </c>
      <c r="Z29" s="33"/>
      <c r="AA29" s="33"/>
    </row>
    <row r="30" spans="1:31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31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31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51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39" t="s">
        <v>45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 t="s">
        <v>47</v>
      </c>
    </row>
  </sheetData>
  <mergeCells count="15">
    <mergeCell ref="A31:AA31"/>
    <mergeCell ref="A35:AA35"/>
    <mergeCell ref="A39:AA39"/>
    <mergeCell ref="A9:AA9"/>
    <mergeCell ref="C11:I11"/>
    <mergeCell ref="L11:O11"/>
    <mergeCell ref="Q11:R11"/>
    <mergeCell ref="T11:U11"/>
    <mergeCell ref="W11:AA11"/>
    <mergeCell ref="A6:AA6"/>
    <mergeCell ref="A1:AA1"/>
    <mergeCell ref="A2:AA2"/>
    <mergeCell ref="A3:AA3"/>
    <mergeCell ref="A4:AA4"/>
    <mergeCell ref="A5:AA5"/>
  </mergeCells>
  <conditionalFormatting sqref="C20:P26">
    <cfRule type="cellIs" dxfId="10" priority="2" operator="equal">
      <formula>0</formula>
    </cfRule>
  </conditionalFormatting>
  <conditionalFormatting sqref="C15:W19 S20:W26">
    <cfRule type="cellIs" dxfId="9" priority="3" operator="equal">
      <formula>0</formula>
    </cfRule>
  </conditionalFormatting>
  <conditionalFormatting sqref="AE20:AE26">
    <cfRule type="cellIs" dxfId="8" priority="1" operator="equal">
      <formula>0</formula>
    </cfRule>
  </conditionalFormatting>
  <hyperlinks>
    <hyperlink ref="A5" r:id="rId1" xr:uid="{58B1B91D-73A8-4AD7-BF3C-91940696BA2B}"/>
  </hyperlinks>
  <printOptions horizontalCentered="1" verticalCentered="1"/>
  <pageMargins left="0.25" right="0.25" top="0.75" bottom="0.75" header="0.3" footer="0.3"/>
  <pageSetup scale="51" fitToHeight="0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E27E-48DA-4DAF-B2C8-042208DDC390}">
  <sheetPr>
    <pageSetUpPr fitToPage="1"/>
  </sheetPr>
  <dimension ref="A1:AA45"/>
  <sheetViews>
    <sheetView topLeftCell="A14" zoomScaleNormal="100" workbookViewId="0">
      <selection activeCell="A40" sqref="A4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6.710937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8.28515625" style="28" customWidth="1"/>
    <col min="13" max="13" width="12.7109375" style="28" customWidth="1"/>
    <col min="14" max="14" width="12.8554687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4.28515625" style="1" hidden="1" customWidth="1"/>
    <col min="21" max="21" width="12.140625" style="1" customWidth="1"/>
    <col min="22" max="22" width="2" style="1" customWidth="1"/>
    <col min="23" max="23" width="14.28515625" style="1" customWidth="1"/>
    <col min="24" max="24" width="12.85546875" style="1" bestFit="1" customWidth="1"/>
    <col min="25" max="25" width="14" style="1" bestFit="1" customWidth="1"/>
    <col min="26" max="26" width="10.85546875" style="1" bestFit="1" customWidth="1"/>
    <col min="27" max="27" width="15.140625" style="1" bestFit="1" customWidth="1"/>
    <col min="28" max="257" width="9.14062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9.14062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9.14062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9.14062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9.14062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9.14062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9.14062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9.14062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9.14062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9.14062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9.14062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9.14062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9.14062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9.14062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9.14062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9.14062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9.14062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9.14062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9.14062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9.14062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9.14062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9.14062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9.14062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9.14062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9.14062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9.14062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9.14062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9.14062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9.14062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9.14062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9.14062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9.14062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9.14062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9.14062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9.14062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9.14062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9.14062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9.14062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9.14062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9.14062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9.14062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9.14062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9.14062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9.14062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9.14062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9.14062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9.14062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9.14062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9.14062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9.14062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9.14062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9.14062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9.14062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9.14062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9.14062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9.14062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9.14062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9.14062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9.14062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9.14062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9.14062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9.14062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9.14062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9.140625" style="1"/>
  </cols>
  <sheetData>
    <row r="1" spans="1:27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7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7" s="8" customFormat="1" ht="14.25" customHeight="1" x14ac:dyDescent="0.25">
      <c r="A9" s="67" t="s">
        <v>56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7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S11" s="60"/>
      <c r="T11" s="74" t="s">
        <v>32</v>
      </c>
      <c r="U11" s="75"/>
      <c r="W11" s="76" t="s">
        <v>50</v>
      </c>
      <c r="X11" s="77"/>
      <c r="Y11" s="77"/>
      <c r="Z11" s="77"/>
      <c r="AA11" s="78"/>
    </row>
    <row r="12" spans="1:27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U12" s="21" t="s">
        <v>33</v>
      </c>
      <c r="W12" s="16" t="s">
        <v>4</v>
      </c>
      <c r="X12" s="36"/>
      <c r="Y12" s="36"/>
      <c r="Z12" s="36"/>
      <c r="AA12" s="36" t="s">
        <v>23</v>
      </c>
    </row>
    <row r="13" spans="1:27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U13" s="21" t="s">
        <v>34</v>
      </c>
      <c r="W13" s="16" t="s">
        <v>4</v>
      </c>
      <c r="X13" s="16" t="s">
        <v>24</v>
      </c>
      <c r="Y13" s="36" t="s">
        <v>4</v>
      </c>
      <c r="Z13" s="36" t="s">
        <v>25</v>
      </c>
      <c r="AA13" s="36" t="s">
        <v>26</v>
      </c>
    </row>
    <row r="14" spans="1:27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35</v>
      </c>
      <c r="U14" s="43" t="s">
        <v>16</v>
      </c>
      <c r="W14" s="23" t="s">
        <v>21</v>
      </c>
      <c r="X14" s="23" t="s">
        <v>27</v>
      </c>
      <c r="Y14" s="37" t="s">
        <v>28</v>
      </c>
      <c r="Z14" s="37" t="s">
        <v>29</v>
      </c>
      <c r="AA14" s="37" t="s">
        <v>30</v>
      </c>
    </row>
    <row r="15" spans="1:27" x14ac:dyDescent="0.25">
      <c r="A15" s="4">
        <v>43556</v>
      </c>
      <c r="C15" s="46">
        <f>+'[3]19-20 RW Catskills Monthly'!C14+'[4]del Lago Monthly FY 19-20'!C14+'[1]19-20 Tioga Monthly'!C14+'[2]19-20 Rivers Monthly'!C14</f>
        <v>464562211.44</v>
      </c>
      <c r="D15" s="46">
        <f>+'[3]19-20 RW Catskills Monthly'!D14+'[4]del Lago Monthly FY 19-20'!D14+'[1]19-20 Tioga Monthly'!D14+'[2]19-20 Rivers Monthly'!D14</f>
        <v>6937419.7599999998</v>
      </c>
      <c r="E15" s="46">
        <f>+'[3]19-20 RW Catskills Monthly'!E14+'[4]del Lago Monthly FY 19-20'!E14+'[1]19-20 Tioga Monthly'!E14+'[2]19-20 Rivers Monthly'!E14</f>
        <v>422321148.48000002</v>
      </c>
      <c r="F15" s="46">
        <f>+'[3]19-20 RW Catskills Monthly'!F14+'[4]del Lago Monthly FY 19-20'!F14+'[1]19-20 Tioga Monthly'!F14+'[2]19-20 Rivers Monthly'!F14</f>
        <v>35303643.200000003</v>
      </c>
      <c r="G15" s="46"/>
      <c r="H15" s="49">
        <f>+'[3]19-20 RW Catskills Monthly'!H14+'[4]del Lago Monthly FY 19-20'!H14+'[1]19-20 Tioga Monthly'!H14+'[2]19-20 Rivers Monthly'!H14</f>
        <v>5823</v>
      </c>
      <c r="I15" s="46">
        <f>+F15/H15/30</f>
        <v>202.09309748697694</v>
      </c>
      <c r="J15" s="48"/>
      <c r="K15" s="48"/>
      <c r="L15" s="49">
        <f>+'[3]19-20 RW Catskills Monthly'!L14+'[4]del Lago Monthly FY 19-20'!L14+'[1]19-20 Tioga Monthly'!L14+'[2]19-20 Rivers Monthly'!L14</f>
        <v>306</v>
      </c>
      <c r="M15" s="53">
        <f>+'[3]19-20 RW Catskills Monthly'!M14+'[4]del Lago Monthly FY 19-20'!M14+'[1]19-20 Tioga Monthly'!M14+'[2]19-20 Rivers Monthly'!M14</f>
        <v>79607413.099999994</v>
      </c>
      <c r="N15" s="53">
        <f>+'[3]19-20 RW Catskills Monthly'!N14+'[4]del Lago Monthly FY 19-20'!N14+'[1]19-20 Tioga Monthly'!N14+'[2]19-20 Rivers Monthly'!N14</f>
        <v>2106151</v>
      </c>
      <c r="O15" s="53">
        <f>+'[3]19-20 RW Catskills Monthly'!O14+'[4]del Lago Monthly FY 19-20'!O14+'[1]19-20 Tioga Monthly'!O14+'[2]19-20 Rivers Monthly'!O14</f>
        <v>14769048.439999999</v>
      </c>
      <c r="P15" s="49"/>
      <c r="Q15" s="49">
        <f>+'[3]19-20 RW Catskills Monthly'!Q14+'[4]del Lago Monthly FY 19-20'!Q14+'[1]19-20 Tioga Monthly'!Q14+'[2]19-20 Rivers Monthly'!Q14</f>
        <v>57</v>
      </c>
      <c r="R15" s="53">
        <f>+'[3]19-20 RW Catskills Monthly'!R14+'[4]del Lago Monthly FY 19-20'!R14+'[1]19-20 Tioga Monthly'!R14+'[2]19-20 Rivers Monthly'!R14</f>
        <v>1085120</v>
      </c>
      <c r="S15" s="49"/>
      <c r="T15" s="53"/>
      <c r="U15" s="53">
        <f>+'[3]19-20 RW Catskills Monthly'!T14+'[4]del Lago Monthly FY 19-20'!T14+'[1]19-20 Tioga Monthly'!T14+'[2]19-20 Rivers Monthly'!T14</f>
        <v>0</v>
      </c>
      <c r="V15"/>
      <c r="W15" s="46">
        <f>+'[1]19-20 Tioga Monthly'!V14+'[2]19-20 Rivers Monthly'!V14+'[3]19-20 RW Catskills Monthly'!V14+'[4]del Lago Monthly FY 19-20'!V14</f>
        <v>51157811.640000001</v>
      </c>
      <c r="X15" s="30">
        <f>+'[1]19-20 Tioga Monthly'!C36+'[2]19-20 Rivers Monthly'!C36+'[3]19-20 RW Catskills Monthly'!C36+'[4]del Lago Monthly FY 19-20'!C36</f>
        <v>35528047.136199996</v>
      </c>
      <c r="Y15" s="30">
        <f>+'[1]19-20 Tioga Monthly'!D36+'[2]19-20 Rivers Monthly'!D36+'[3]19-20 RW Catskills Monthly'!D36+'[4]del Lago Monthly FY 19-20'!D36</f>
        <v>15629764.503800001</v>
      </c>
      <c r="Z15" s="30">
        <f>+'[3]19-20 RW Catskills Monthly'!E36+'[4]del Lago Monthly FY 19-20'!E36+'[1]19-20 Tioga Monthly'!E36+'[2]19-20 Rivers Monthly'!E36</f>
        <v>48592.33</v>
      </c>
      <c r="AA15" s="30">
        <f>+'[3]19-20 RW Catskills Monthly'!F36+'[4]del Lago Monthly FY 19-20'!F36+'[1]19-20 Tioga Monthly'!F36+'[2]19-20 Rivers Monthly'!F36</f>
        <v>37580.910000000003</v>
      </c>
    </row>
    <row r="16" spans="1:27" x14ac:dyDescent="0.25">
      <c r="A16" s="4">
        <f>+A15+31</f>
        <v>43587</v>
      </c>
      <c r="C16" s="46">
        <f>+'[3]19-20 RW Catskills Monthly'!C15+'[4]del Lago Monthly FY 19-20'!C15+'[1]19-20 Tioga Monthly'!C15+'[2]19-20 Rivers Monthly'!C15</f>
        <v>505582663.68000001</v>
      </c>
      <c r="D16" s="46">
        <f>+'[3]19-20 RW Catskills Monthly'!D15+'[4]del Lago Monthly FY 19-20'!D15+'[1]19-20 Tioga Monthly'!D15+'[2]19-20 Rivers Monthly'!D15</f>
        <v>7637818.2399999993</v>
      </c>
      <c r="E16" s="46">
        <f>+'[3]19-20 RW Catskills Monthly'!E15+'[4]del Lago Monthly FY 19-20'!E15+'[1]19-20 Tioga Monthly'!E15+'[2]19-20 Rivers Monthly'!E15</f>
        <v>459850228.38999999</v>
      </c>
      <c r="F16" s="46">
        <f>+'[3]19-20 RW Catskills Monthly'!F15+'[4]del Lago Monthly FY 19-20'!F15+'[1]19-20 Tioga Monthly'!F15+'[2]19-20 Rivers Monthly'!F15</f>
        <v>38094617.049999997</v>
      </c>
      <c r="G16" s="46"/>
      <c r="H16" s="49">
        <f>+'[3]19-20 RW Catskills Monthly'!H15+'[4]del Lago Monthly FY 19-20'!H15+'[1]19-20 Tioga Monthly'!H15+'[2]19-20 Rivers Monthly'!H15</f>
        <v>5536</v>
      </c>
      <c r="I16" s="46">
        <f>+F16/H16/31</f>
        <v>221.97590580132388</v>
      </c>
      <c r="J16" s="48"/>
      <c r="K16" s="48"/>
      <c r="L16" s="49">
        <f>+'[3]19-20 RW Catskills Monthly'!L15+'[4]del Lago Monthly FY 19-20'!L15+'[1]19-20 Tioga Monthly'!L15+'[2]19-20 Rivers Monthly'!L15</f>
        <v>294</v>
      </c>
      <c r="M16" s="53">
        <f>+'[3]19-20 RW Catskills Monthly'!M15+'[4]del Lago Monthly FY 19-20'!M15+'[1]19-20 Tioga Monthly'!M15+'[2]19-20 Rivers Monthly'!M15</f>
        <v>78965590.049999997</v>
      </c>
      <c r="N16" s="53">
        <f>+'[3]19-20 RW Catskills Monthly'!N15+'[4]del Lago Monthly FY 19-20'!N15+'[1]19-20 Tioga Monthly'!N15+'[2]19-20 Rivers Monthly'!N15</f>
        <v>2210345</v>
      </c>
      <c r="O16" s="53">
        <f>+'[3]19-20 RW Catskills Monthly'!O15+'[4]del Lago Monthly FY 19-20'!O15+'[1]19-20 Tioga Monthly'!O15+'[2]19-20 Rivers Monthly'!O15</f>
        <v>9844655.0500000007</v>
      </c>
      <c r="P16" s="49"/>
      <c r="Q16" s="49">
        <f>+'[3]19-20 RW Catskills Monthly'!Q15+'[4]del Lago Monthly FY 19-20'!Q15+'[1]19-20 Tioga Monthly'!Q15+'[2]19-20 Rivers Monthly'!Q15</f>
        <v>55</v>
      </c>
      <c r="R16" s="53">
        <f>+'[3]19-20 RW Catskills Monthly'!R15+'[4]del Lago Monthly FY 19-20'!R15+'[1]19-20 Tioga Monthly'!R15+'[2]19-20 Rivers Monthly'!R15</f>
        <v>1088944</v>
      </c>
      <c r="S16" s="49"/>
      <c r="T16" s="53"/>
      <c r="U16" s="53">
        <f>+'[3]19-20 RW Catskills Monthly'!T15+'[4]del Lago Monthly FY 19-20'!T15+'[1]19-20 Tioga Monthly'!T15+'[2]19-20 Rivers Monthly'!T15</f>
        <v>0</v>
      </c>
      <c r="V16"/>
      <c r="W16" s="46">
        <f>+'[1]19-20 Tioga Monthly'!V15+'[2]19-20 Rivers Monthly'!V15+'[3]19-20 RW Catskills Monthly'!V15+'[4]del Lago Monthly FY 19-20'!V15</f>
        <v>49028216.100000001</v>
      </c>
      <c r="X16" s="30">
        <f>+'[1]19-20 Tioga Monthly'!C37+'[2]19-20 Rivers Monthly'!C37+'[3]19-20 RW Catskills Monthly'!C37+'[4]del Lago Monthly FY 19-20'!C37</f>
        <v>32798881.923099998</v>
      </c>
      <c r="Y16" s="30">
        <f>+'[1]19-20 Tioga Monthly'!D37+'[2]19-20 Rivers Monthly'!D37+'[3]19-20 RW Catskills Monthly'!D37+'[4]del Lago Monthly FY 19-20'!D37</f>
        <v>16229334.176899999</v>
      </c>
      <c r="Z16" s="30">
        <f>+'[3]19-20 RW Catskills Monthly'!E37+'[4]del Lago Monthly FY 19-20'!E37+'[1]19-20 Tioga Monthly'!E37+'[2]19-20 Rivers Monthly'!E37</f>
        <v>49519.689999999995</v>
      </c>
      <c r="AA16" s="30">
        <f>+'[3]19-20 RW Catskills Monthly'!F37+'[4]del Lago Monthly FY 19-20'!F37+'[1]19-20 Tioga Monthly'!F37+'[2]19-20 Rivers Monthly'!F37</f>
        <v>220000</v>
      </c>
    </row>
    <row r="17" spans="1:27" x14ac:dyDescent="0.25">
      <c r="A17" s="4">
        <f t="shared" ref="A17:A26" si="0">+A16+31</f>
        <v>43618</v>
      </c>
      <c r="C17" s="46">
        <f>+'[3]19-20 RW Catskills Monthly'!C16+'[4]del Lago Monthly FY 19-20'!C16+'[1]19-20 Tioga Monthly'!C16+'[2]19-20 Rivers Monthly'!C16</f>
        <v>485863344.91000003</v>
      </c>
      <c r="D17" s="46">
        <f>+'[3]19-20 RW Catskills Monthly'!D16+'[4]del Lago Monthly FY 19-20'!D16+'[1]19-20 Tioga Monthly'!D16+'[2]19-20 Rivers Monthly'!D16</f>
        <v>6709112.2399999993</v>
      </c>
      <c r="E17" s="46">
        <f>+'[3]19-20 RW Catskills Monthly'!E16+'[4]del Lago Monthly FY 19-20'!E16+'[1]19-20 Tioga Monthly'!E16+'[2]19-20 Rivers Monthly'!E16</f>
        <v>441355131.13999999</v>
      </c>
      <c r="F17" s="46">
        <f>+'[3]19-20 RW Catskills Monthly'!F16+'[4]del Lago Monthly FY 19-20'!F16+'[1]19-20 Tioga Monthly'!F16+'[2]19-20 Rivers Monthly'!F16</f>
        <v>37799101.530000001</v>
      </c>
      <c r="G17" s="46"/>
      <c r="H17" s="49">
        <f>+'[3]19-20 RW Catskills Monthly'!H16+'[4]del Lago Monthly FY 19-20'!H16+'[1]19-20 Tioga Monthly'!H16+'[2]19-20 Rivers Monthly'!H16</f>
        <v>5383</v>
      </c>
      <c r="I17" s="46">
        <f t="shared" ref="I17:I22" si="1">+F17/H17/30</f>
        <v>234.06465744008918</v>
      </c>
      <c r="J17" s="48"/>
      <c r="K17" s="48"/>
      <c r="L17" s="49">
        <f>+'[3]19-20 RW Catskills Monthly'!L16+'[4]del Lago Monthly FY 19-20'!L16+'[1]19-20 Tioga Monthly'!L16+'[2]19-20 Rivers Monthly'!L16</f>
        <v>293</v>
      </c>
      <c r="M17" s="53">
        <f>+'[3]19-20 RW Catskills Monthly'!M16+'[4]del Lago Monthly FY 19-20'!M16+'[1]19-20 Tioga Monthly'!M16+'[2]19-20 Rivers Monthly'!M16</f>
        <v>87514813.50999999</v>
      </c>
      <c r="N17" s="53">
        <f>+'[3]19-20 RW Catskills Monthly'!N16+'[4]del Lago Monthly FY 19-20'!N16+'[1]19-20 Tioga Monthly'!N16+'[2]19-20 Rivers Monthly'!N16</f>
        <v>2470805</v>
      </c>
      <c r="O17" s="53">
        <f>+'[3]19-20 RW Catskills Monthly'!O16+'[4]del Lago Monthly FY 19-20'!O16+'[1]19-20 Tioga Monthly'!O16+'[2]19-20 Rivers Monthly'!O16</f>
        <v>15296913</v>
      </c>
      <c r="P17" s="49"/>
      <c r="Q17" s="49">
        <f>+'[3]19-20 RW Catskills Monthly'!Q16+'[4]del Lago Monthly FY 19-20'!Q16+'[1]19-20 Tioga Monthly'!Q16+'[2]19-20 Rivers Monthly'!Q16</f>
        <v>55</v>
      </c>
      <c r="R17" s="53">
        <f>+'[3]19-20 RW Catskills Monthly'!R16+'[4]del Lago Monthly FY 19-20'!R16+'[1]19-20 Tioga Monthly'!R16+'[2]19-20 Rivers Monthly'!R16</f>
        <v>993241.25</v>
      </c>
      <c r="S17" s="49"/>
      <c r="T17" s="53"/>
      <c r="U17" s="53">
        <f>+'[3]19-20 RW Catskills Monthly'!T16+'[4]del Lago Monthly FY 19-20'!T16+'[1]19-20 Tioga Monthly'!T16+'[2]19-20 Rivers Monthly'!T16</f>
        <v>0</v>
      </c>
      <c r="V17"/>
      <c r="W17" s="46">
        <f>+'[1]19-20 Tioga Monthly'!V16+'[2]19-20 Rivers Monthly'!V16+'[3]19-20 RW Catskills Monthly'!V16+'[4]del Lago Monthly FY 19-20'!V16</f>
        <v>54089255.780000001</v>
      </c>
      <c r="X17" s="30">
        <f>+'[1]19-20 Tioga Monthly'!C38+'[2]19-20 Rivers Monthly'!C38+'[3]19-20 RW Catskills Monthly'!C38+'[4]del Lago Monthly FY 19-20'!C38</f>
        <v>37438568.113700002</v>
      </c>
      <c r="Y17" s="30">
        <f>+'[1]19-20 Tioga Monthly'!D38+'[2]19-20 Rivers Monthly'!D38+'[3]19-20 RW Catskills Monthly'!D38+'[4]del Lago Monthly FY 19-20'!D38</f>
        <v>16650687.666299999</v>
      </c>
      <c r="Z17" s="30">
        <f>+'[3]19-20 RW Catskills Monthly'!E38+'[4]del Lago Monthly FY 19-20'!E38+'[1]19-20 Tioga Monthly'!E38+'[2]19-20 Rivers Monthly'!E38</f>
        <v>48843.899999999994</v>
      </c>
      <c r="AA17" s="30">
        <f>+'[3]19-20 RW Catskills Monthly'!F38+'[4]del Lago Monthly FY 19-20'!F38+'[1]19-20 Tioga Monthly'!F38+'[2]19-20 Rivers Monthly'!F38</f>
        <v>0</v>
      </c>
    </row>
    <row r="18" spans="1:27" x14ac:dyDescent="0.25">
      <c r="A18" s="4">
        <f t="shared" si="0"/>
        <v>43649</v>
      </c>
      <c r="C18" s="46">
        <f>+'[3]19-20 RW Catskills Monthly'!C17+'[4]del Lago Monthly FY 19-20'!C17+'[1]19-20 Tioga Monthly'!C17+'[2]19-20 Rivers Monthly'!C17</f>
        <v>503323637.57000005</v>
      </c>
      <c r="D18" s="46">
        <f>+'[3]19-20 RW Catskills Monthly'!D17+'[4]del Lago Monthly FY 19-20'!D17+'[1]19-20 Tioga Monthly'!D17+'[2]19-20 Rivers Monthly'!D17</f>
        <v>8476142.8399999999</v>
      </c>
      <c r="E18" s="46">
        <f>+'[3]19-20 RW Catskills Monthly'!E17+'[4]del Lago Monthly FY 19-20'!E17+'[1]19-20 Tioga Monthly'!E17+'[2]19-20 Rivers Monthly'!E17</f>
        <v>457247747.11000001</v>
      </c>
      <c r="F18" s="46">
        <f>+'[3]19-20 RW Catskills Monthly'!F17+'[4]del Lago Monthly FY 19-20'!F17+'[1]19-20 Tioga Monthly'!F17+'[2]19-20 Rivers Monthly'!F17</f>
        <v>37599747.619999997</v>
      </c>
      <c r="G18" s="46"/>
      <c r="H18" s="49">
        <f>+'[3]19-20 RW Catskills Monthly'!H17+'[4]del Lago Monthly FY 19-20'!H17+'[1]19-20 Tioga Monthly'!H17+'[2]19-20 Rivers Monthly'!H17</f>
        <v>5289</v>
      </c>
      <c r="I18" s="46">
        <f>+F18/H18/31</f>
        <v>229.32408480168823</v>
      </c>
      <c r="J18" s="48"/>
      <c r="K18" s="48"/>
      <c r="L18" s="49">
        <f>+'[3]19-20 RW Catskills Monthly'!L17+'[4]del Lago Monthly FY 19-20'!L17+'[1]19-20 Tioga Monthly'!L17+'[2]19-20 Rivers Monthly'!L17</f>
        <v>293</v>
      </c>
      <c r="M18" s="53">
        <f>+'[3]19-20 RW Catskills Monthly'!M17+'[4]del Lago Monthly FY 19-20'!M17+'[1]19-20 Tioga Monthly'!M17+'[2]19-20 Rivers Monthly'!M17</f>
        <v>95055627.799999997</v>
      </c>
      <c r="N18" s="53">
        <f>+'[3]19-20 RW Catskills Monthly'!N17+'[4]del Lago Monthly FY 19-20'!N17+'[1]19-20 Tioga Monthly'!N17+'[2]19-20 Rivers Monthly'!N17</f>
        <v>1491475</v>
      </c>
      <c r="O18" s="53">
        <f>+'[3]19-20 RW Catskills Monthly'!O17+'[4]del Lago Monthly FY 19-20'!O17+'[1]19-20 Tioga Monthly'!O17+'[2]19-20 Rivers Monthly'!O17</f>
        <v>17125036.16</v>
      </c>
      <c r="P18" s="49"/>
      <c r="Q18" s="49">
        <f>+'[3]19-20 RW Catskills Monthly'!Q17+'[4]del Lago Monthly FY 19-20'!Q17+'[1]19-20 Tioga Monthly'!Q17+'[2]19-20 Rivers Monthly'!Q17</f>
        <v>55</v>
      </c>
      <c r="R18" s="53">
        <f>+'[3]19-20 RW Catskills Monthly'!R17+'[4]del Lago Monthly FY 19-20'!R17+'[1]19-20 Tioga Monthly'!R17+'[2]19-20 Rivers Monthly'!R17</f>
        <v>1137304</v>
      </c>
      <c r="S18" s="49"/>
      <c r="T18" s="53">
        <v>1382652.43</v>
      </c>
      <c r="U18" s="53">
        <f>+'[3]19-20 RW Catskills Monthly'!T17+'[4]del Lago Monthly FY 19-20'!T17+'[1]19-20 Tioga Monthly'!T17+'[2]19-20 Rivers Monthly'!T17</f>
        <v>349468.07</v>
      </c>
      <c r="V18"/>
      <c r="W18" s="46">
        <f>+'[1]19-20 Tioga Monthly'!V17+'[2]19-20 Rivers Monthly'!V17+'[3]19-20 RW Catskills Monthly'!V17+'[4]del Lago Monthly FY 19-20'!V17</f>
        <v>56211555.849999994</v>
      </c>
      <c r="X18" s="30">
        <f>+'[1]19-20 Tioga Monthly'!C39+'[2]19-20 Rivers Monthly'!C39+'[3]19-20 RW Catskills Monthly'!C39+'[4]del Lago Monthly FY 19-20'!C39</f>
        <v>39397391.349799998</v>
      </c>
      <c r="Y18" s="30">
        <f>+'[1]19-20 Tioga Monthly'!D39+'[2]19-20 Rivers Monthly'!D39+'[3]19-20 RW Catskills Monthly'!D39+'[4]del Lago Monthly FY 19-20'!D39</f>
        <v>16814164.5002</v>
      </c>
      <c r="Z18" s="30">
        <f>+'[3]19-20 RW Catskills Monthly'!E39+'[4]del Lago Monthly FY 19-20'!E39+'[1]19-20 Tioga Monthly'!E39+'[2]19-20 Rivers Monthly'!E39</f>
        <v>49642.61</v>
      </c>
      <c r="AA18" s="30">
        <f>+'[3]19-20 RW Catskills Monthly'!F39+'[4]del Lago Monthly FY 19-20'!F39+'[1]19-20 Tioga Monthly'!F39+'[2]19-20 Rivers Monthly'!F39</f>
        <v>50000</v>
      </c>
    </row>
    <row r="19" spans="1:27" x14ac:dyDescent="0.25">
      <c r="A19" s="4">
        <f t="shared" si="0"/>
        <v>43680</v>
      </c>
      <c r="C19" s="46">
        <f>+'[3]19-20 RW Catskills Monthly'!C18+'[4]del Lago Monthly FY 19-20'!C18+'[1]19-20 Tioga Monthly'!C18+'[2]19-20 Rivers Monthly'!C18</f>
        <v>513914007.24000001</v>
      </c>
      <c r="D19" s="46">
        <f>+'[3]19-20 RW Catskills Monthly'!D18+'[4]del Lago Monthly FY 19-20'!D18+'[1]19-20 Tioga Monthly'!D18+'[2]19-20 Rivers Monthly'!D18</f>
        <v>8696483.7799999993</v>
      </c>
      <c r="E19" s="46">
        <f>+'[3]19-20 RW Catskills Monthly'!E18+'[4]del Lago Monthly FY 19-20'!E18+'[1]19-20 Tioga Monthly'!E18+'[2]19-20 Rivers Monthly'!E18</f>
        <v>466649972.06999993</v>
      </c>
      <c r="F19" s="46">
        <f>+'[3]19-20 RW Catskills Monthly'!F18+'[4]del Lago Monthly FY 19-20'!F18+'[1]19-20 Tioga Monthly'!F18+'[2]19-20 Rivers Monthly'!F18</f>
        <v>38567551.390000001</v>
      </c>
      <c r="G19" s="46"/>
      <c r="H19" s="49">
        <f>+'[3]19-20 RW Catskills Monthly'!H18+'[4]del Lago Monthly FY 19-20'!H18+'[1]19-20 Tioga Monthly'!H18+'[2]19-20 Rivers Monthly'!H18</f>
        <v>5287</v>
      </c>
      <c r="I19" s="46">
        <f>+F19/H19/31</f>
        <v>235.31578607296046</v>
      </c>
      <c r="J19" s="48"/>
      <c r="K19" s="48"/>
      <c r="L19" s="49">
        <f>+'[3]19-20 RW Catskills Monthly'!L18+'[4]del Lago Monthly FY 19-20'!L18+'[1]19-20 Tioga Monthly'!L18+'[2]19-20 Rivers Monthly'!L18</f>
        <v>293</v>
      </c>
      <c r="M19" s="53">
        <f>+'[3]19-20 RW Catskills Monthly'!M18+'[4]del Lago Monthly FY 19-20'!M18+'[1]19-20 Tioga Monthly'!M18+'[2]19-20 Rivers Monthly'!M18</f>
        <v>88483661.099999994</v>
      </c>
      <c r="N19" s="53">
        <f>+'[3]19-20 RW Catskills Monthly'!N18+'[4]del Lago Monthly FY 19-20'!N18+'[1]19-20 Tioga Monthly'!N18+'[2]19-20 Rivers Monthly'!N18</f>
        <v>1042380</v>
      </c>
      <c r="O19" s="53">
        <f>+'[3]19-20 RW Catskills Monthly'!O18+'[4]del Lago Monthly FY 19-20'!O18+'[1]19-20 Tioga Monthly'!O18+'[2]19-20 Rivers Monthly'!O18</f>
        <v>17714794.489999998</v>
      </c>
      <c r="P19" s="49"/>
      <c r="Q19" s="49">
        <f>+'[3]19-20 RW Catskills Monthly'!Q18+'[4]del Lago Monthly FY 19-20'!Q18+'[1]19-20 Tioga Monthly'!Q18+'[2]19-20 Rivers Monthly'!Q18</f>
        <v>56</v>
      </c>
      <c r="R19" s="53">
        <f>+'[3]19-20 RW Catskills Monthly'!R18+'[4]del Lago Monthly FY 19-20'!R18+'[1]19-20 Tioga Monthly'!R18+'[2]19-20 Rivers Monthly'!R18</f>
        <v>1245551.01</v>
      </c>
      <c r="S19" s="49"/>
      <c r="T19" s="53">
        <v>4607114.9600000009</v>
      </c>
      <c r="U19" s="53">
        <f>+'[3]19-20 RW Catskills Monthly'!T18+'[4]del Lago Monthly FY 19-20'!T18+'[1]19-20 Tioga Monthly'!T18+'[2]19-20 Rivers Monthly'!T18</f>
        <v>828151.5</v>
      </c>
      <c r="V19"/>
      <c r="W19" s="46">
        <f>+'[1]19-20 Tioga Monthly'!V18+'[2]19-20 Rivers Monthly'!V18+'[3]19-20 RW Catskills Monthly'!V18+'[4]del Lago Monthly FY 19-20'!V18</f>
        <v>58356048.390000001</v>
      </c>
      <c r="X19" s="30">
        <f>+'[1]19-20 Tioga Monthly'!C40+'[2]19-20 Rivers Monthly'!C40+'[3]19-20 RW Catskills Monthly'!C40+'[4]del Lago Monthly FY 19-20'!C40</f>
        <v>41024164.085500002</v>
      </c>
      <c r="Y19" s="30">
        <f>+'[1]19-20 Tioga Monthly'!D40+'[2]19-20 Rivers Monthly'!D40+'[3]19-20 RW Catskills Monthly'!D40+'[4]del Lago Monthly FY 19-20'!D40</f>
        <v>17331884.304499999</v>
      </c>
      <c r="Z19" s="30">
        <f>+'[3]19-20 RW Catskills Monthly'!E40+'[4]del Lago Monthly FY 19-20'!E40+'[1]19-20 Tioga Monthly'!E40+'[2]19-20 Rivers Monthly'!E40</f>
        <v>36875.54</v>
      </c>
      <c r="AA19" s="30">
        <f>+'[3]19-20 RW Catskills Monthly'!F40+'[4]del Lago Monthly FY 19-20'!F40+'[1]19-20 Tioga Monthly'!F40+'[2]19-20 Rivers Monthly'!F40</f>
        <v>0</v>
      </c>
    </row>
    <row r="20" spans="1:27" x14ac:dyDescent="0.25">
      <c r="A20" s="4">
        <f t="shared" si="0"/>
        <v>43711</v>
      </c>
      <c r="C20" s="46">
        <f>+'[3]19-20 RW Catskills Monthly'!C19+'[4]del Lago Monthly FY 19-20'!C19+'[1]19-20 Tioga Monthly'!C19+'[2]19-20 Rivers Monthly'!C19</f>
        <v>467804338.59000003</v>
      </c>
      <c r="D20" s="46">
        <f>+'[3]19-20 RW Catskills Monthly'!D19+'[4]del Lago Monthly FY 19-20'!D19+'[1]19-20 Tioga Monthly'!D19+'[2]19-20 Rivers Monthly'!D19</f>
        <v>8022354.8199999994</v>
      </c>
      <c r="E20" s="46">
        <f>+'[3]19-20 RW Catskills Monthly'!E19+'[4]del Lago Monthly FY 19-20'!E19+'[1]19-20 Tioga Monthly'!E19+'[2]19-20 Rivers Monthly'!E19</f>
        <v>424085196.52000004</v>
      </c>
      <c r="F20" s="46">
        <f>+'[3]19-20 RW Catskills Monthly'!F19+'[4]del Lago Monthly FY 19-20'!F19+'[1]19-20 Tioga Monthly'!F19+'[2]19-20 Rivers Monthly'!F19</f>
        <v>35696787.25</v>
      </c>
      <c r="G20" s="46"/>
      <c r="H20" s="49">
        <f>+'[3]19-20 RW Catskills Monthly'!H19+'[4]del Lago Monthly FY 19-20'!H19+'[1]19-20 Tioga Monthly'!H19+'[2]19-20 Rivers Monthly'!H19</f>
        <v>5295</v>
      </c>
      <c r="I20" s="46">
        <f t="shared" si="1"/>
        <v>224.72009600251809</v>
      </c>
      <c r="J20" s="48"/>
      <c r="K20" s="48"/>
      <c r="L20" s="49">
        <f>+'[3]19-20 RW Catskills Monthly'!L19+'[4]del Lago Monthly FY 19-20'!L19+'[1]19-20 Tioga Monthly'!L19+'[2]19-20 Rivers Monthly'!L19</f>
        <v>293</v>
      </c>
      <c r="M20" s="53">
        <f>+'[3]19-20 RW Catskills Monthly'!M19+'[4]del Lago Monthly FY 19-20'!M19+'[1]19-20 Tioga Monthly'!M19+'[2]19-20 Rivers Monthly'!M19</f>
        <v>78838884.099999994</v>
      </c>
      <c r="N20" s="53">
        <f>+'[3]19-20 RW Catskills Monthly'!N19+'[4]del Lago Monthly FY 19-20'!N19+'[1]19-20 Tioga Monthly'!N19+'[2]19-20 Rivers Monthly'!N19</f>
        <v>1027580</v>
      </c>
      <c r="O20" s="53">
        <f>+'[3]19-20 RW Catskills Monthly'!O19+'[4]del Lago Monthly FY 19-20'!O19+'[1]19-20 Tioga Monthly'!O19+'[2]19-20 Rivers Monthly'!O19</f>
        <v>15109063.1</v>
      </c>
      <c r="P20" s="49"/>
      <c r="Q20" s="57">
        <f>+'[3]19-20 RW Catskills Monthly'!Q19+'[4]del Lago Monthly FY 19-20'!Q19+'[1]19-20 Tioga Monthly'!Q19+'[2]19-20 Rivers Monthly'!Q19</f>
        <v>56</v>
      </c>
      <c r="R20" s="58">
        <f>+'[3]19-20 RW Catskills Monthly'!R19+'[4]del Lago Monthly FY 19-20'!R19+'[1]19-20 Tioga Monthly'!R19+'[2]19-20 Rivers Monthly'!R19</f>
        <v>1075803</v>
      </c>
      <c r="S20" s="49"/>
      <c r="T20" s="53">
        <v>13060944.430000005</v>
      </c>
      <c r="U20" s="53">
        <f>+'[3]19-20 RW Catskills Monthly'!T19+'[4]del Lago Monthly FY 19-20'!T19+'[1]19-20 Tioga Monthly'!T19+'[2]19-20 Rivers Monthly'!T19</f>
        <v>2283864.23</v>
      </c>
      <c r="V20"/>
      <c r="W20" s="46">
        <f>+'[1]19-20 Tioga Monthly'!V19+'[2]19-20 Rivers Monthly'!V19+'[3]19-20 RW Catskills Monthly'!V19+'[4]del Lago Monthly FY 19-20'!V19</f>
        <v>54165517.579999998</v>
      </c>
      <c r="X20" s="30">
        <f>+'[1]19-20 Tioga Monthly'!C41+'[2]19-20 Rivers Monthly'!C41+'[3]19-20 RW Catskills Monthly'!C41+'[4]del Lago Monthly FY 19-20'!C41</f>
        <v>38095196.590700001</v>
      </c>
      <c r="Y20" s="30">
        <f>+'[1]19-20 Tioga Monthly'!D41+'[2]19-20 Rivers Monthly'!D41+'[3]19-20 RW Catskills Monthly'!D41+'[4]del Lago Monthly FY 19-20'!D41</f>
        <v>16070320.989300001</v>
      </c>
      <c r="Z20" s="30">
        <f>+'[3]19-20 RW Catskills Monthly'!E41+'[4]del Lago Monthly FY 19-20'!E41+'[1]19-20 Tioga Monthly'!E41+'[2]19-20 Rivers Monthly'!E41</f>
        <v>36754.960000000006</v>
      </c>
      <c r="AA20" s="54">
        <f>+'[3]19-20 RW Catskills Monthly'!F41+'[4]del Lago Monthly FY 19-20'!F41+'[1]19-20 Tioga Monthly'!F41+'[2]19-20 Rivers Monthly'!F41</f>
        <v>6.1</v>
      </c>
    </row>
    <row r="21" spans="1:27" x14ac:dyDescent="0.25">
      <c r="A21" s="4">
        <f t="shared" si="0"/>
        <v>43742</v>
      </c>
      <c r="C21" s="46">
        <f>+'[3]19-20 RW Catskills Monthly'!C20+'[4]del Lago Monthly FY 19-20'!C20+'[1]19-20 Tioga Monthly'!C20+'[2]19-20 Rivers Monthly'!C20</f>
        <v>468729086.21000004</v>
      </c>
      <c r="D21" s="46">
        <f>+'[3]19-20 RW Catskills Monthly'!D20+'[4]del Lago Monthly FY 19-20'!D20+'[1]19-20 Tioga Monthly'!D20+'[2]19-20 Rivers Monthly'!D20</f>
        <v>8007242.3700000001</v>
      </c>
      <c r="E21" s="46">
        <f>+'[3]19-20 RW Catskills Monthly'!E20+'[4]del Lago Monthly FY 19-20'!E20+'[1]19-20 Tioga Monthly'!E20+'[2]19-20 Rivers Monthly'!E20</f>
        <v>425735118.89999998</v>
      </c>
      <c r="F21" s="46">
        <f>+'[3]19-20 RW Catskills Monthly'!F20+'[4]del Lago Monthly FY 19-20'!F20+'[1]19-20 Tioga Monthly'!F20+'[2]19-20 Rivers Monthly'!F20</f>
        <v>34986724.939999998</v>
      </c>
      <c r="G21" s="46"/>
      <c r="H21" s="49">
        <f>+'[3]19-20 RW Catskills Monthly'!H20+'[4]del Lago Monthly FY 19-20'!H20+'[1]19-20 Tioga Monthly'!H20+'[2]19-20 Rivers Monthly'!H20</f>
        <v>5302</v>
      </c>
      <c r="I21" s="46">
        <f>+F21/H21/31</f>
        <v>212.86383069079227</v>
      </c>
      <c r="J21" s="48"/>
      <c r="K21" s="48"/>
      <c r="L21" s="49">
        <f>+'[3]19-20 RW Catskills Monthly'!L20+'[4]del Lago Monthly FY 19-20'!L20+'[1]19-20 Tioga Monthly'!L20+'[2]19-20 Rivers Monthly'!L20</f>
        <v>293</v>
      </c>
      <c r="M21" s="53">
        <f>+'[3]19-20 RW Catskills Monthly'!M20+'[4]del Lago Monthly FY 19-20'!M20+'[1]19-20 Tioga Monthly'!M20+'[2]19-20 Rivers Monthly'!M20</f>
        <v>77598427.099999994</v>
      </c>
      <c r="N21" s="53">
        <f>+'[3]19-20 RW Catskills Monthly'!N20+'[4]del Lago Monthly FY 19-20'!N20+'[1]19-20 Tioga Monthly'!N20+'[2]19-20 Rivers Monthly'!N20</f>
        <v>1225720</v>
      </c>
      <c r="O21" s="53">
        <f>+'[3]19-20 RW Catskills Monthly'!O20+'[4]del Lago Monthly FY 19-20'!O20+'[1]19-20 Tioga Monthly'!O20+'[2]19-20 Rivers Monthly'!O20</f>
        <v>13123137.01</v>
      </c>
      <c r="P21" s="49"/>
      <c r="Q21" s="57">
        <f>+'[3]19-20 RW Catskills Monthly'!Q20+'[4]del Lago Monthly FY 19-20'!Q20+'[1]19-20 Tioga Monthly'!Q20+'[2]19-20 Rivers Monthly'!Q20</f>
        <v>56</v>
      </c>
      <c r="R21" s="58">
        <f>+'[3]19-20 RW Catskills Monthly'!R20+'[4]del Lago Monthly FY 19-20'!R20+'[1]19-20 Tioga Monthly'!R20+'[2]19-20 Rivers Monthly'!R20</f>
        <v>1085807.25</v>
      </c>
      <c r="S21" s="49"/>
      <c r="T21" s="53">
        <v>14852615.110000003</v>
      </c>
      <c r="U21" s="53">
        <f>+'[3]19-20 RW Catskills Monthly'!T20+'[4]del Lago Monthly FY 19-20'!T20+'[1]19-20 Tioga Monthly'!T20+'[2]19-20 Rivers Monthly'!T20</f>
        <v>2233227.2000000002</v>
      </c>
      <c r="V21"/>
      <c r="W21" s="46">
        <f>+'[1]19-20 Tioga Monthly'!V20+'[2]19-20 Rivers Monthly'!V20+'[3]19-20 RW Catskills Monthly'!V20+'[4]del Lago Monthly FY 19-20'!V20</f>
        <v>51428896.400000006</v>
      </c>
      <c r="X21" s="30">
        <f>+'[1]19-20 Tioga Monthly'!C42+'[2]19-20 Rivers Monthly'!C42+'[3]19-20 RW Catskills Monthly'!C42+'[4]del Lago Monthly FY 19-20'!C42</f>
        <v>35846975.271600001</v>
      </c>
      <c r="Y21" s="30">
        <f>+'[1]19-20 Tioga Monthly'!D42+'[2]19-20 Rivers Monthly'!D42+'[3]19-20 RW Catskills Monthly'!D42+'[4]del Lago Monthly FY 19-20'!D42</f>
        <v>15581921.128400002</v>
      </c>
      <c r="Z21" s="30">
        <f>+'[3]19-20 RW Catskills Monthly'!E42+'[4]del Lago Monthly FY 19-20'!E42+'[1]19-20 Tioga Monthly'!E42+'[2]19-20 Rivers Monthly'!E42</f>
        <v>36694.950000000004</v>
      </c>
      <c r="AA21" s="30">
        <f>+'[3]19-20 RW Catskills Monthly'!F42+'[4]del Lago Monthly FY 19-20'!F42+'[1]19-20 Tioga Monthly'!F42+'[2]19-20 Rivers Monthly'!F42</f>
        <v>31000</v>
      </c>
    </row>
    <row r="22" spans="1:27" x14ac:dyDescent="0.25">
      <c r="A22" s="4">
        <f t="shared" si="0"/>
        <v>43773</v>
      </c>
      <c r="C22" s="46">
        <f>+'[3]19-20 RW Catskills Monthly'!C21+'[4]del Lago Monthly FY 19-20'!C21+'[1]19-20 Tioga Monthly'!C21+'[2]19-20 Rivers Monthly'!C21</f>
        <v>469296451.17999995</v>
      </c>
      <c r="D22" s="46">
        <f>+'[3]19-20 RW Catskills Monthly'!D21+'[4]del Lago Monthly FY 19-20'!D21+'[1]19-20 Tioga Monthly'!D21+'[2]19-20 Rivers Monthly'!D21</f>
        <v>8441818.1099999994</v>
      </c>
      <c r="E22" s="46">
        <f>+'[3]19-20 RW Catskills Monthly'!E21+'[4]del Lago Monthly FY 19-20'!E21+'[1]19-20 Tioga Monthly'!E21+'[2]19-20 Rivers Monthly'!E21</f>
        <v>426364914.04999995</v>
      </c>
      <c r="F22" s="46">
        <f>+'[3]19-20 RW Catskills Monthly'!F21+'[4]del Lago Monthly FY 19-20'!F21+'[1]19-20 Tioga Monthly'!F21+'[2]19-20 Rivers Monthly'!F21</f>
        <v>34489719.019999996</v>
      </c>
      <c r="G22" s="46"/>
      <c r="H22" s="49">
        <f>+'[3]19-20 RW Catskills Monthly'!H21+'[4]del Lago Monthly FY 19-20'!H21+'[1]19-20 Tioga Monthly'!H21+'[2]19-20 Rivers Monthly'!H21</f>
        <v>5302</v>
      </c>
      <c r="I22" s="46">
        <f t="shared" si="1"/>
        <v>216.83464742864325</v>
      </c>
      <c r="J22" s="48"/>
      <c r="K22" s="48"/>
      <c r="L22" s="49">
        <f>+'[3]19-20 RW Catskills Monthly'!L21+'[4]del Lago Monthly FY 19-20'!L21+'[1]19-20 Tioga Monthly'!L21+'[2]19-20 Rivers Monthly'!L21</f>
        <v>293</v>
      </c>
      <c r="M22" s="53">
        <f>+'[3]19-20 RW Catskills Monthly'!M21+'[4]del Lago Monthly FY 19-20'!M21+'[1]19-20 Tioga Monthly'!M21+'[2]19-20 Rivers Monthly'!M21</f>
        <v>84600539</v>
      </c>
      <c r="N22" s="53">
        <f>+'[3]19-20 RW Catskills Monthly'!N21+'[4]del Lago Monthly FY 19-20'!N21+'[1]19-20 Tioga Monthly'!N21+'[2]19-20 Rivers Monthly'!N21</f>
        <v>1379585</v>
      </c>
      <c r="O22" s="53">
        <f>+'[3]19-20 RW Catskills Monthly'!O21+'[4]del Lago Monthly FY 19-20'!O21+'[1]19-20 Tioga Monthly'!O21+'[2]19-20 Rivers Monthly'!O21</f>
        <v>14724656.779999999</v>
      </c>
      <c r="P22" s="49"/>
      <c r="Q22" s="57">
        <f>+'[3]19-20 RW Catskills Monthly'!Q21+'[4]del Lago Monthly FY 19-20'!Q21+'[1]19-20 Tioga Monthly'!Q21+'[2]19-20 Rivers Monthly'!Q21</f>
        <v>56</v>
      </c>
      <c r="R22" s="58">
        <f>+'[3]19-20 RW Catskills Monthly'!R21+'[4]del Lago Monthly FY 19-20'!R21+'[1]19-20 Tioga Monthly'!R21+'[2]19-20 Rivers Monthly'!R21</f>
        <v>1101789</v>
      </c>
      <c r="S22" s="49"/>
      <c r="T22" s="53">
        <v>17036888.189999994</v>
      </c>
      <c r="U22" s="53">
        <f>+'[3]19-20 RW Catskills Monthly'!T21+'[4]del Lago Monthly FY 19-20'!T21+'[1]19-20 Tioga Monthly'!T21+'[2]19-20 Rivers Monthly'!T21</f>
        <v>1308295</v>
      </c>
      <c r="V22"/>
      <c r="W22" s="46">
        <f>+'[1]19-20 Tioga Monthly'!V21+'[2]19-20 Rivers Monthly'!V21+'[3]19-20 RW Catskills Monthly'!V21+'[4]del Lago Monthly FY 19-20'!V21</f>
        <v>51624459.799999997</v>
      </c>
      <c r="X22" s="30">
        <f>+'[1]19-20 Tioga Monthly'!C43+'[2]19-20 Rivers Monthly'!C43+'[3]19-20 RW Catskills Monthly'!C43+'[4]del Lago Monthly FY 19-20'!C43</f>
        <v>36149441.169799998</v>
      </c>
      <c r="Y22" s="30">
        <f>+'[1]19-20 Tioga Monthly'!D43+'[2]19-20 Rivers Monthly'!D43+'[3]19-20 RW Catskills Monthly'!D43+'[4]del Lago Monthly FY 19-20'!D43</f>
        <v>15475018.630199999</v>
      </c>
      <c r="Z22" s="30">
        <f>+'[3]19-20 RW Catskills Monthly'!E43+'[4]del Lago Monthly FY 19-20'!E43+'[1]19-20 Tioga Monthly'!E43+'[2]19-20 Rivers Monthly'!E43</f>
        <v>32420.880000000001</v>
      </c>
      <c r="AA22" s="30">
        <f>+'[3]19-20 RW Catskills Monthly'!F43+'[4]del Lago Monthly FY 19-20'!F43+'[1]19-20 Tioga Monthly'!F43+'[2]19-20 Rivers Monthly'!F43</f>
        <v>26000</v>
      </c>
    </row>
    <row r="23" spans="1:27" x14ac:dyDescent="0.25">
      <c r="A23" s="4">
        <f t="shared" si="0"/>
        <v>43804</v>
      </c>
      <c r="C23" s="46">
        <f>+'[3]19-20 RW Catskills Monthly'!C22+'[4]del Lago Monthly FY 19-20'!C22+'[1]19-20 Tioga Monthly'!C22+'[2]19-20 Rivers Monthly'!C22</f>
        <v>426830665.44000006</v>
      </c>
      <c r="D23" s="46">
        <f>+'[3]19-20 RW Catskills Monthly'!D22+'[4]del Lago Monthly FY 19-20'!D22+'[1]19-20 Tioga Monthly'!D22+'[2]19-20 Rivers Monthly'!D22</f>
        <v>6828523.4900000002</v>
      </c>
      <c r="E23" s="46">
        <f>+'[3]19-20 RW Catskills Monthly'!E22+'[4]del Lago Monthly FY 19-20'!E22+'[1]19-20 Tioga Monthly'!E22+'[2]19-20 Rivers Monthly'!E22</f>
        <v>387962345.05000001</v>
      </c>
      <c r="F23" s="46">
        <f>+'[3]19-20 RW Catskills Monthly'!F22+'[4]del Lago Monthly FY 19-20'!F22+'[1]19-20 Tioga Monthly'!F22+'[2]19-20 Rivers Monthly'!F22</f>
        <v>32039796.899999999</v>
      </c>
      <c r="G23" s="46"/>
      <c r="H23" s="49">
        <f>+'[3]19-20 RW Catskills Monthly'!H22+'[4]del Lago Monthly FY 19-20'!H22+'[1]19-20 Tioga Monthly'!H22+'[2]19-20 Rivers Monthly'!H22</f>
        <v>5320</v>
      </c>
      <c r="I23" s="46">
        <f>+F23/H23/31</f>
        <v>194.27478110599077</v>
      </c>
      <c r="J23" s="48"/>
      <c r="K23" s="48"/>
      <c r="L23" s="49">
        <f>+'[3]19-20 RW Catskills Monthly'!L22+'[4]del Lago Monthly FY 19-20'!L22+'[1]19-20 Tioga Monthly'!L22+'[2]19-20 Rivers Monthly'!L22</f>
        <v>293</v>
      </c>
      <c r="M23" s="53">
        <f>+'[3]19-20 RW Catskills Monthly'!M22+'[4]del Lago Monthly FY 19-20'!M22+'[1]19-20 Tioga Monthly'!M22+'[2]19-20 Rivers Monthly'!M22</f>
        <v>78028157.049999997</v>
      </c>
      <c r="N23" s="53">
        <f>+'[3]19-20 RW Catskills Monthly'!N22+'[4]del Lago Monthly FY 19-20'!N22+'[1]19-20 Tioga Monthly'!N22+'[2]19-20 Rivers Monthly'!N22</f>
        <v>1366145</v>
      </c>
      <c r="O23" s="53">
        <f>+'[3]19-20 RW Catskills Monthly'!O22+'[4]del Lago Monthly FY 19-20'!O22+'[1]19-20 Tioga Monthly'!O22+'[2]19-20 Rivers Monthly'!O22</f>
        <v>15124471.930000002</v>
      </c>
      <c r="P23" s="49"/>
      <c r="Q23" s="57">
        <f>+'[3]19-20 RW Catskills Monthly'!Q22+'[4]del Lago Monthly FY 19-20'!Q22+'[1]19-20 Tioga Monthly'!Q22+'[2]19-20 Rivers Monthly'!Q22</f>
        <v>56</v>
      </c>
      <c r="R23" s="58">
        <f>+'[3]19-20 RW Catskills Monthly'!R22+'[4]del Lago Monthly FY 19-20'!R22+'[1]19-20 Tioga Monthly'!R22+'[2]19-20 Rivers Monthly'!R22</f>
        <v>1089457</v>
      </c>
      <c r="S23" s="49"/>
      <c r="T23" s="53">
        <v>16872506.48</v>
      </c>
      <c r="U23" s="53">
        <f>+'[3]19-20 RW Catskills Monthly'!T22+'[4]del Lago Monthly FY 19-20'!T22+'[1]19-20 Tioga Monthly'!T22+'[2]19-20 Rivers Monthly'!T22</f>
        <v>780416.94</v>
      </c>
      <c r="V23"/>
      <c r="W23" s="46">
        <f>+'[1]19-20 Tioga Monthly'!V22+'[2]19-20 Rivers Monthly'!V22+'[3]19-20 RW Catskills Monthly'!V22+'[4]del Lago Monthly FY 19-20'!V22</f>
        <v>49034142.769999996</v>
      </c>
      <c r="X23" s="30">
        <f>+'[1]19-20 Tioga Monthly'!C44+'[2]19-20 Rivers Monthly'!C44+'[3]19-20 RW Catskills Monthly'!C44+'[4]del Lago Monthly FY 19-20'!C44</f>
        <v>34562193.601199999</v>
      </c>
      <c r="Y23" s="30">
        <f>+'[1]19-20 Tioga Monthly'!D44+'[2]19-20 Rivers Monthly'!D44+'[3]19-20 RW Catskills Monthly'!D44+'[4]del Lago Monthly FY 19-20'!D44</f>
        <v>14471949.1688</v>
      </c>
      <c r="Z23" s="30">
        <f>+'[3]19-20 RW Catskills Monthly'!E44+'[4]del Lago Monthly FY 19-20'!E44+'[1]19-20 Tioga Monthly'!E44+'[2]19-20 Rivers Monthly'!E44</f>
        <v>24597.479999999996</v>
      </c>
      <c r="AA23" s="54">
        <f>+'[3]19-20 RW Catskills Monthly'!F44+'[4]del Lago Monthly FY 19-20'!F44+'[1]19-20 Tioga Monthly'!F44+'[2]19-20 Rivers Monthly'!F44</f>
        <v>-426.1</v>
      </c>
    </row>
    <row r="24" spans="1:27" x14ac:dyDescent="0.25">
      <c r="A24" s="4">
        <f t="shared" si="0"/>
        <v>43835</v>
      </c>
      <c r="C24" s="46">
        <f>+'[3]19-20 RW Catskills Monthly'!C23+'[4]del Lago Monthly FY 19-20'!C23+'[1]19-20 Tioga Monthly'!C23+'[2]19-20 Rivers Monthly'!C23</f>
        <v>462065288.95999998</v>
      </c>
      <c r="D24" s="46">
        <f>+'[3]19-20 RW Catskills Monthly'!D23+'[4]del Lago Monthly FY 19-20'!D23+'[1]19-20 Tioga Monthly'!D23+'[2]19-20 Rivers Monthly'!D23</f>
        <v>7867046.6800000006</v>
      </c>
      <c r="E24" s="46">
        <f>+'[3]19-20 RW Catskills Monthly'!E23+'[4]del Lago Monthly FY 19-20'!E23+'[1]19-20 Tioga Monthly'!E23+'[2]19-20 Rivers Monthly'!E23</f>
        <v>420093759.87</v>
      </c>
      <c r="F24" s="46">
        <f>+'[3]19-20 RW Catskills Monthly'!F23+'[4]del Lago Monthly FY 19-20'!F23+'[1]19-20 Tioga Monthly'!F23+'[2]19-20 Rivers Monthly'!F23</f>
        <v>34104482.410000004</v>
      </c>
      <c r="G24" s="46"/>
      <c r="H24" s="49">
        <f>+'[3]19-20 RW Catskills Monthly'!H23+'[4]del Lago Monthly FY 19-20'!H23+'[1]19-20 Tioga Monthly'!H23+'[2]19-20 Rivers Monthly'!H23</f>
        <v>5357</v>
      </c>
      <c r="I24" s="46">
        <f>+F24/H24/31</f>
        <v>205.36580061059695</v>
      </c>
      <c r="J24" s="48"/>
      <c r="K24" s="48"/>
      <c r="L24" s="49">
        <f>+'[3]19-20 RW Catskills Monthly'!L23+'[4]del Lago Monthly FY 19-20'!L23+'[1]19-20 Tioga Monthly'!L23+'[2]19-20 Rivers Monthly'!L23</f>
        <v>293</v>
      </c>
      <c r="M24" s="53">
        <f>+'[3]19-20 RW Catskills Monthly'!M23+'[4]del Lago Monthly FY 19-20'!M23+'[1]19-20 Tioga Monthly'!M23+'[2]19-20 Rivers Monthly'!M23</f>
        <v>77882825.599999994</v>
      </c>
      <c r="N24" s="53">
        <f>+'[3]19-20 RW Catskills Monthly'!N23+'[4]del Lago Monthly FY 19-20'!N23+'[1]19-20 Tioga Monthly'!N23+'[2]19-20 Rivers Monthly'!N23</f>
        <v>1287330</v>
      </c>
      <c r="O24" s="53">
        <f>+'[3]19-20 RW Catskills Monthly'!O23+'[4]del Lago Monthly FY 19-20'!O23+'[1]19-20 Tioga Monthly'!O23+'[2]19-20 Rivers Monthly'!O23</f>
        <v>14754840.969999999</v>
      </c>
      <c r="P24" s="49"/>
      <c r="Q24" s="57">
        <f>+'[3]19-20 RW Catskills Monthly'!Q23+'[4]del Lago Monthly FY 19-20'!Q23+'[1]19-20 Tioga Monthly'!Q23+'[2]19-20 Rivers Monthly'!Q23</f>
        <v>56</v>
      </c>
      <c r="R24" s="58">
        <f>+'[3]19-20 RW Catskills Monthly'!R23+'[4]del Lago Monthly FY 19-20'!R23+'[1]19-20 Tioga Monthly'!R23+'[2]19-20 Rivers Monthly'!R23</f>
        <v>1115212.3500000001</v>
      </c>
      <c r="S24" s="49"/>
      <c r="T24" s="53">
        <v>17169302.709999997</v>
      </c>
      <c r="U24" s="46">
        <f>+'[3]19-20 RW Catskills Monthly'!T23+'[4]del Lago Monthly FY 19-20'!T23+'[1]19-20 Tioga Monthly'!T23+'[2]19-20 Rivers Monthly'!T23</f>
        <v>1943350.68</v>
      </c>
      <c r="V24"/>
      <c r="W24" s="46">
        <f>+'[1]19-20 Tioga Monthly'!V23+'[2]19-20 Rivers Monthly'!V23+'[3]19-20 RW Catskills Monthly'!V23+'[4]del Lago Monthly FY 19-20'!V23</f>
        <v>51917886.409999996</v>
      </c>
      <c r="X24" s="30">
        <f>+'[1]19-20 Tioga Monthly'!C45+'[2]19-20 Rivers Monthly'!C45+'[3]19-20 RW Catskills Monthly'!C45+'[4]del Lago Monthly FY 19-20'!C45</f>
        <v>36473822.574900001</v>
      </c>
      <c r="Y24" s="30">
        <f>+'[1]19-20 Tioga Monthly'!D45+'[2]19-20 Rivers Monthly'!D45+'[3]19-20 RW Catskills Monthly'!D45+'[4]del Lago Monthly FY 19-20'!D45</f>
        <v>15444063.835100001</v>
      </c>
      <c r="Z24" s="30">
        <f>+'[3]19-20 RW Catskills Monthly'!E45+'[4]del Lago Monthly FY 19-20'!E45+'[1]19-20 Tioga Monthly'!E45+'[2]19-20 Rivers Monthly'!E45</f>
        <v>113241</v>
      </c>
      <c r="AA24" s="54">
        <f>+'[3]19-20 RW Catskills Monthly'!F45+'[4]del Lago Monthly FY 19-20'!F45+'[1]19-20 Tioga Monthly'!F45+'[2]19-20 Rivers Monthly'!F45</f>
        <v>-6839.5</v>
      </c>
    </row>
    <row r="25" spans="1:27" x14ac:dyDescent="0.25">
      <c r="A25" s="4">
        <f t="shared" si="0"/>
        <v>43866</v>
      </c>
      <c r="C25" s="46">
        <f>+'[3]19-20 RW Catskills Monthly'!C24+'[4]del Lago Monthly FY 19-20'!C24+'[1]19-20 Tioga Monthly'!C24+'[2]19-20 Rivers Monthly'!C24</f>
        <v>478452194.64999998</v>
      </c>
      <c r="D25" s="46">
        <f>+'[3]19-20 RW Catskills Monthly'!D24+'[4]del Lago Monthly FY 19-20'!D24+'[1]19-20 Tioga Monthly'!D24+'[2]19-20 Rivers Monthly'!D24</f>
        <v>7014854.5999999996</v>
      </c>
      <c r="E25" s="46">
        <f>+'[3]19-20 RW Catskills Monthly'!E24+'[4]del Lago Monthly FY 19-20'!E24+'[1]19-20 Tioga Monthly'!E24+'[2]19-20 Rivers Monthly'!E24</f>
        <v>434413835.61000001</v>
      </c>
      <c r="F25" s="46">
        <f>+'[3]19-20 RW Catskills Monthly'!F24+'[4]del Lago Monthly FY 19-20'!F24+'[1]19-20 Tioga Monthly'!F24+'[2]19-20 Rivers Monthly'!F24</f>
        <v>37023504.439999998</v>
      </c>
      <c r="G25" s="46"/>
      <c r="H25" s="49">
        <f>+'[3]19-20 RW Catskills Monthly'!H24+'[4]del Lago Monthly FY 19-20'!H24+'[1]19-20 Tioga Monthly'!H24+'[2]19-20 Rivers Monthly'!H24</f>
        <v>5357</v>
      </c>
      <c r="I25" s="46">
        <f>+F25/H25/29</f>
        <v>238.31856764916029</v>
      </c>
      <c r="J25" s="48"/>
      <c r="K25" s="48"/>
      <c r="L25" s="49">
        <f>+'[3]19-20 RW Catskills Monthly'!L24+'[4]del Lago Monthly FY 19-20'!L24+'[1]19-20 Tioga Monthly'!L24+'[2]19-20 Rivers Monthly'!L24</f>
        <v>293</v>
      </c>
      <c r="M25" s="53">
        <f>+'[3]19-20 RW Catskills Monthly'!M24+'[4]del Lago Monthly FY 19-20'!M24+'[1]19-20 Tioga Monthly'!M24+'[2]19-20 Rivers Monthly'!M24</f>
        <v>75959032.599999994</v>
      </c>
      <c r="N25" s="53">
        <f>+'[3]19-20 RW Catskills Monthly'!N24+'[4]del Lago Monthly FY 19-20'!N24+'[1]19-20 Tioga Monthly'!N24+'[2]19-20 Rivers Monthly'!N24</f>
        <v>1197785</v>
      </c>
      <c r="O25" s="53">
        <f>+'[3]19-20 RW Catskills Monthly'!O24+'[4]del Lago Monthly FY 19-20'!O24+'[1]19-20 Tioga Monthly'!O24+'[2]19-20 Rivers Monthly'!O24</f>
        <v>16609295.890000001</v>
      </c>
      <c r="P25" s="49"/>
      <c r="Q25" s="57">
        <f>+'[3]19-20 RW Catskills Monthly'!Q24+'[4]del Lago Monthly FY 19-20'!Q24+'[1]19-20 Tioga Monthly'!Q24+'[2]19-20 Rivers Monthly'!Q24</f>
        <v>56</v>
      </c>
      <c r="R25" s="58">
        <f>+'[3]19-20 RW Catskills Monthly'!R24+'[4]del Lago Monthly FY 19-20'!R24+'[1]19-20 Tioga Monthly'!R24+'[2]19-20 Rivers Monthly'!R24</f>
        <v>1120230</v>
      </c>
      <c r="S25" s="49"/>
      <c r="T25" s="53">
        <v>12872999.239999998</v>
      </c>
      <c r="U25" s="46">
        <f>+'[3]19-20 RW Catskills Monthly'!T24+'[4]del Lago Monthly FY 19-20'!T24+'[1]19-20 Tioga Monthly'!T24+'[2]19-20 Rivers Monthly'!T24</f>
        <v>-179591.62</v>
      </c>
      <c r="V25"/>
      <c r="W25" s="46">
        <f>+'[1]19-20 Tioga Monthly'!V24+'[2]19-20 Rivers Monthly'!V24+'[3]19-20 RW Catskills Monthly'!V24+'[4]del Lago Monthly FY 19-20'!V24</f>
        <v>54573438.710000001</v>
      </c>
      <c r="X25" s="30">
        <f>+'[1]19-20 Tioga Monthly'!C46+'[2]19-20 Rivers Monthly'!C46+'[3]19-20 RW Catskills Monthly'!C46+'[4]del Lago Monthly FY 19-20'!C46</f>
        <v>38042131.284600005</v>
      </c>
      <c r="Y25" s="30">
        <f>+'[1]19-20 Tioga Monthly'!D46+'[2]19-20 Rivers Monthly'!D46+'[3]19-20 RW Catskills Monthly'!D46+'[4]del Lago Monthly FY 19-20'!D46</f>
        <v>16531307.4254</v>
      </c>
      <c r="Z25" s="30">
        <f>+'[3]19-20 RW Catskills Monthly'!E46+'[4]del Lago Monthly FY 19-20'!E46+'[1]19-20 Tioga Monthly'!E46+'[2]19-20 Rivers Monthly'!E46</f>
        <v>80181.789999999994</v>
      </c>
      <c r="AA25" s="54">
        <f>+'[3]19-20 RW Catskills Monthly'!F46+'[4]del Lago Monthly FY 19-20'!F46+'[1]19-20 Tioga Monthly'!F46+'[2]19-20 Rivers Monthly'!F46</f>
        <v>-101.55</v>
      </c>
    </row>
    <row r="26" spans="1:27" x14ac:dyDescent="0.25">
      <c r="A26" s="4">
        <f t="shared" si="0"/>
        <v>43897</v>
      </c>
      <c r="C26" s="46">
        <f>+'[3]19-20 RW Catskills Monthly'!C25+'[4]del Lago Monthly FY 19-20'!C25+'[1]19-20 Tioga Monthly'!C25+'[2]19-20 Rivers Monthly'!C25</f>
        <v>217356073.80000001</v>
      </c>
      <c r="D26" s="46">
        <f>+'[3]19-20 RW Catskills Monthly'!D25+'[4]del Lago Monthly FY 19-20'!D25+'[1]19-20 Tioga Monthly'!D25+'[2]19-20 Rivers Monthly'!D25</f>
        <v>3011509.92</v>
      </c>
      <c r="E26" s="46">
        <f>+'[3]19-20 RW Catskills Monthly'!E25+'[4]del Lago Monthly FY 19-20'!E25+'[1]19-20 Tioga Monthly'!E25+'[2]19-20 Rivers Monthly'!E25</f>
        <v>197380057.63</v>
      </c>
      <c r="F26" s="46">
        <f>+'[3]19-20 RW Catskills Monthly'!F25+'[4]del Lago Monthly FY 19-20'!F25+'[1]19-20 Tioga Monthly'!F25+'[2]19-20 Rivers Monthly'!F25</f>
        <v>16964506.25</v>
      </c>
      <c r="G26" s="46"/>
      <c r="H26" s="49">
        <f>+'[3]19-20 RW Catskills Monthly'!H25+'[4]del Lago Monthly FY 19-20'!H25+'[1]19-20 Tioga Monthly'!H25+'[2]19-20 Rivers Monthly'!H25</f>
        <v>5356.4666666666672</v>
      </c>
      <c r="I26" s="46">
        <f>+F26/H26/16</f>
        <v>197.94422454323123</v>
      </c>
      <c r="J26" s="48"/>
      <c r="K26" s="48"/>
      <c r="L26" s="49">
        <f>+'[3]19-20 RW Catskills Monthly'!L25+'[4]del Lago Monthly FY 19-20'!L25+'[1]19-20 Tioga Monthly'!L25+'[2]19-20 Rivers Monthly'!L25</f>
        <v>293</v>
      </c>
      <c r="M26" s="53">
        <f>+'[3]19-20 RW Catskills Monthly'!M25+'[4]del Lago Monthly FY 19-20'!M25+'[1]19-20 Tioga Monthly'!M25+'[2]19-20 Rivers Monthly'!M25</f>
        <v>35398314.549999997</v>
      </c>
      <c r="N26" s="53">
        <f>+'[3]19-20 RW Catskills Monthly'!N25+'[4]del Lago Monthly FY 19-20'!N25+'[1]19-20 Tioga Monthly'!N25+'[2]19-20 Rivers Monthly'!N25</f>
        <v>529555</v>
      </c>
      <c r="O26" s="53">
        <f>+'[3]19-20 RW Catskills Monthly'!O25+'[4]del Lago Monthly FY 19-20'!O25+'[1]19-20 Tioga Monthly'!O25+'[2]19-20 Rivers Monthly'!O25</f>
        <v>6655848.6699999999</v>
      </c>
      <c r="P26" s="49"/>
      <c r="Q26" s="57">
        <f>+'[3]19-20 RW Catskills Monthly'!Q25+'[4]del Lago Monthly FY 19-20'!Q25+'[1]19-20 Tioga Monthly'!Q25+'[2]19-20 Rivers Monthly'!Q25</f>
        <v>56</v>
      </c>
      <c r="R26" s="58">
        <f>+'[3]19-20 RW Catskills Monthly'!R25+'[4]del Lago Monthly FY 19-20'!R25+'[1]19-20 Tioga Monthly'!R25+'[2]19-20 Rivers Monthly'!R25</f>
        <v>457925</v>
      </c>
      <c r="S26" s="49"/>
      <c r="T26" s="53">
        <v>4186276.0799999996</v>
      </c>
      <c r="U26" s="46">
        <f>+'[3]19-20 RW Catskills Monthly'!T25+'[4]del Lago Monthly FY 19-20'!T25+'[1]19-20 Tioga Monthly'!T25+'[2]19-20 Rivers Monthly'!T25</f>
        <v>99514.37000000001</v>
      </c>
      <c r="V26"/>
      <c r="W26" s="46">
        <f>+'[1]19-20 Tioga Monthly'!V25+'[2]19-20 Rivers Monthly'!V25+'[3]19-20 RW Catskills Monthly'!V25+'[4]del Lago Monthly FY 19-20'!V25</f>
        <v>24177794.289999999</v>
      </c>
      <c r="X26" s="30">
        <f>+'[1]19-20 Tioga Monthly'!C47+'[2]19-20 Rivers Monthly'!C47+'[3]19-20 RW Catskills Monthly'!C47+'[4]del Lago Monthly FY 19-20'!C47</f>
        <v>16691683.773099998</v>
      </c>
      <c r="Y26" s="30">
        <f>+'[1]19-20 Tioga Monthly'!D47+'[2]19-20 Rivers Monthly'!D47+'[3]19-20 RW Catskills Monthly'!D47+'[4]del Lago Monthly FY 19-20'!D47</f>
        <v>7486110.5168999992</v>
      </c>
      <c r="Z26" s="30">
        <f>+'[3]19-20 RW Catskills Monthly'!E47+'[4]del Lago Monthly FY 19-20'!E47+'[1]19-20 Tioga Monthly'!E47+'[2]19-20 Rivers Monthly'!E47</f>
        <v>27422.440000000002</v>
      </c>
      <c r="AA26" s="54">
        <f>+'[3]19-20 RW Catskills Monthly'!F47+'[4]del Lago Monthly FY 19-20'!F47+'[1]19-20 Tioga Monthly'!F47+'[2]19-20 Rivers Monthly'!F47</f>
        <v>7666.55</v>
      </c>
    </row>
    <row r="27" spans="1:27" ht="15.75" thickBot="1" x14ac:dyDescent="0.3">
      <c r="A27" s="4" t="s">
        <v>22</v>
      </c>
      <c r="C27" s="50">
        <f>SUM(C15:C26)</f>
        <v>5463779963.6700001</v>
      </c>
      <c r="D27" s="50">
        <f t="shared" ref="D27:E27" si="2">SUM(D15:D26)</f>
        <v>87650326.849999994</v>
      </c>
      <c r="E27" s="50">
        <f t="shared" si="2"/>
        <v>4963459454.8199997</v>
      </c>
      <c r="F27" s="50">
        <f>SUM(F15:F26)</f>
        <v>412670182</v>
      </c>
      <c r="G27" s="50"/>
      <c r="H27" s="51">
        <f>+'[3]19-20 RW Catskills Monthly'!H26+'[4]del Lago Monthly FY 19-20'!H26+'[1]19-20 Tioga Monthly'!H26+'[2]19-20 Rivers Monthly'!H26</f>
        <v>5385</v>
      </c>
      <c r="I27" s="52">
        <f>+F27/H27/365</f>
        <v>209.95417611070835</v>
      </c>
      <c r="J27" s="48"/>
      <c r="K27" s="46"/>
      <c r="L27" s="51">
        <f>+'[3]19-20 RW Catskills Monthly'!L26+'[4]del Lago Monthly FY 19-20'!L26+'[1]19-20 Tioga Monthly'!L26+'[2]19-20 Rivers Monthly'!L26</f>
        <v>294</v>
      </c>
      <c r="M27" s="50">
        <f>SUM(M15:M26)</f>
        <v>937933285.55999994</v>
      </c>
      <c r="N27" s="50">
        <f t="shared" ref="N27:O27" si="3">SUM(N15:N26)</f>
        <v>17334856</v>
      </c>
      <c r="O27" s="50">
        <f t="shared" si="3"/>
        <v>170851761.48999998</v>
      </c>
      <c r="P27" s="46"/>
      <c r="Q27" s="51">
        <f>+'[3]19-20 RW Catskills Monthly'!Q26+'[4]del Lago Monthly FY 19-20'!Q26+'[1]19-20 Tioga Monthly'!Q26+'[2]19-20 Rivers Monthly'!Q26</f>
        <v>56</v>
      </c>
      <c r="R27" s="50">
        <f>SUM(R15:R26)</f>
        <v>12596383.859999999</v>
      </c>
      <c r="S27" s="46"/>
      <c r="T27" s="50">
        <f>SUM(T15:T26)</f>
        <v>102041299.63</v>
      </c>
      <c r="U27" s="50">
        <f>SUM(U15:U26)</f>
        <v>9646696.3699999992</v>
      </c>
      <c r="V27" s="46"/>
      <c r="W27" s="50">
        <f>SUM(W15:W26)</f>
        <v>605765023.72000003</v>
      </c>
      <c r="X27" s="29">
        <f>SUM(X15:X26)</f>
        <v>422048496.87419999</v>
      </c>
      <c r="Y27" s="29">
        <f>SUM(Y15:Y26)</f>
        <v>183716526.84579998</v>
      </c>
      <c r="Z27" s="29">
        <f>SUM(Z15:Z26)</f>
        <v>584787.57000000007</v>
      </c>
      <c r="AA27" s="45">
        <f t="shared" ref="AA27" si="4">SUM(AA15:AA26)</f>
        <v>364886.41000000003</v>
      </c>
    </row>
    <row r="28" spans="1:27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X28" s="30"/>
      <c r="Y28" s="33"/>
      <c r="Z28" s="33"/>
      <c r="AA28" s="33"/>
    </row>
    <row r="29" spans="1:27" s="35" customFormat="1" x14ac:dyDescent="0.25">
      <c r="A29" s="32"/>
      <c r="B29" s="32"/>
      <c r="C29" s="33"/>
      <c r="D29" s="34">
        <f>D27/C27</f>
        <v>1.6042067475778361E-2</v>
      </c>
      <c r="E29" s="34">
        <f>E27/C27</f>
        <v>0.90842960145233653</v>
      </c>
      <c r="F29" s="34">
        <f>F27/C27</f>
        <v>7.5528331071885085E-2</v>
      </c>
      <c r="G29" s="34"/>
      <c r="H29" s="33"/>
      <c r="L29" s="33"/>
      <c r="M29" s="33"/>
      <c r="N29" s="33"/>
      <c r="O29" s="33">
        <f>O27/$M$27</f>
        <v>0.18215769087242883</v>
      </c>
      <c r="P29" s="33"/>
      <c r="Q29" s="33"/>
      <c r="R29" s="33"/>
      <c r="X29" s="33">
        <f>X27/$W$27</f>
        <v>0.69671981766527591</v>
      </c>
      <c r="Y29" s="33">
        <f>Y27/$W$27</f>
        <v>0.30328018233472392</v>
      </c>
      <c r="Z29" s="33"/>
      <c r="AA29" s="33"/>
    </row>
    <row r="30" spans="1:27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7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51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39" t="s">
        <v>45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 t="s">
        <v>47</v>
      </c>
    </row>
  </sheetData>
  <mergeCells count="15">
    <mergeCell ref="A31:AA31"/>
    <mergeCell ref="A35:AA35"/>
    <mergeCell ref="A39:AA39"/>
    <mergeCell ref="A9:AA9"/>
    <mergeCell ref="C11:I11"/>
    <mergeCell ref="L11:O11"/>
    <mergeCell ref="Q11:R11"/>
    <mergeCell ref="T11:U11"/>
    <mergeCell ref="W11:AA11"/>
    <mergeCell ref="A6:AA6"/>
    <mergeCell ref="A1:AA1"/>
    <mergeCell ref="A2:AA2"/>
    <mergeCell ref="A3:AA3"/>
    <mergeCell ref="A4:AA4"/>
    <mergeCell ref="A5:AA5"/>
  </mergeCells>
  <conditionalFormatting sqref="C20:P26">
    <cfRule type="cellIs" dxfId="7" priority="1" operator="equal">
      <formula>0</formula>
    </cfRule>
  </conditionalFormatting>
  <conditionalFormatting sqref="C15:W19 S20:W26">
    <cfRule type="cellIs" dxfId="6" priority="2" operator="equal">
      <formula>0</formula>
    </cfRule>
  </conditionalFormatting>
  <hyperlinks>
    <hyperlink ref="A5" r:id="rId1" xr:uid="{1FD3A3FE-FBEE-4F30-91C4-39804D5DDD90}"/>
  </hyperlinks>
  <printOptions horizontalCentered="1" verticalCentered="1"/>
  <pageMargins left="0.25" right="0.25" top="0.75" bottom="0.75" header="0.3" footer="0.3"/>
  <pageSetup scale="5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6850-668E-42D1-BA0D-6CEF4FC8C58F}">
  <sheetPr>
    <pageSetUpPr fitToPage="1"/>
  </sheetPr>
  <dimension ref="A1:AA44"/>
  <sheetViews>
    <sheetView topLeftCell="A12" zoomScaleNormal="100" workbookViewId="0">
      <selection activeCell="A39" sqref="A39:AA39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6.7109375" style="28" customWidth="1"/>
    <col min="6" max="6" width="15.140625" style="28" customWidth="1"/>
    <col min="7" max="7" width="1.140625" style="28" customWidth="1"/>
    <col min="8" max="8" width="8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8.28515625" style="28" customWidth="1"/>
    <col min="13" max="13" width="12.7109375" style="28" customWidth="1"/>
    <col min="14" max="14" width="12.8554687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19" width="2" style="1" customWidth="1"/>
    <col min="20" max="20" width="12.140625" style="1" hidden="1" customWidth="1"/>
    <col min="21" max="21" width="2" style="1" customWidth="1"/>
    <col min="22" max="22" width="14.28515625" style="1" customWidth="1"/>
    <col min="23" max="23" width="12.85546875" style="1" bestFit="1" customWidth="1"/>
    <col min="24" max="24" width="14" style="1" bestFit="1" customWidth="1"/>
    <col min="25" max="25" width="10.85546875" style="1" bestFit="1" customWidth="1"/>
    <col min="26" max="26" width="15.140625" style="1" bestFit="1" customWidth="1"/>
    <col min="27" max="256" width="9.140625" style="1"/>
    <col min="257" max="257" width="9.28515625" style="1" customWidth="1"/>
    <col min="258" max="258" width="1.7109375" style="1" customWidth="1"/>
    <col min="259" max="262" width="12" style="1" customWidth="1"/>
    <col min="263" max="263" width="11.85546875" style="1" customWidth="1"/>
    <col min="264" max="264" width="10.7109375" style="1" customWidth="1"/>
    <col min="265" max="265" width="10.5703125" style="1" customWidth="1"/>
    <col min="266" max="266" width="1.140625" style="1" customWidth="1"/>
    <col min="267" max="267" width="11.28515625" style="1" customWidth="1"/>
    <col min="268" max="268" width="12.7109375" style="1" customWidth="1"/>
    <col min="269" max="269" width="11.5703125" style="1" customWidth="1"/>
    <col min="270" max="270" width="12.42578125" style="1" customWidth="1"/>
    <col min="271" max="271" width="1.5703125" style="1" customWidth="1"/>
    <col min="272" max="272" width="11.42578125" style="1" customWidth="1"/>
    <col min="273" max="273" width="12.140625" style="1" customWidth="1"/>
    <col min="274" max="274" width="1.7109375" style="1" customWidth="1"/>
    <col min="275" max="275" width="13.5703125" style="1" customWidth="1"/>
    <col min="276" max="512" width="9.140625" style="1"/>
    <col min="513" max="513" width="9.28515625" style="1" customWidth="1"/>
    <col min="514" max="514" width="1.7109375" style="1" customWidth="1"/>
    <col min="515" max="518" width="12" style="1" customWidth="1"/>
    <col min="519" max="519" width="11.85546875" style="1" customWidth="1"/>
    <col min="520" max="520" width="10.7109375" style="1" customWidth="1"/>
    <col min="521" max="521" width="10.5703125" style="1" customWidth="1"/>
    <col min="522" max="522" width="1.140625" style="1" customWidth="1"/>
    <col min="523" max="523" width="11.28515625" style="1" customWidth="1"/>
    <col min="524" max="524" width="12.7109375" style="1" customWidth="1"/>
    <col min="525" max="525" width="11.5703125" style="1" customWidth="1"/>
    <col min="526" max="526" width="12.42578125" style="1" customWidth="1"/>
    <col min="527" max="527" width="1.5703125" style="1" customWidth="1"/>
    <col min="528" max="528" width="11.42578125" style="1" customWidth="1"/>
    <col min="529" max="529" width="12.140625" style="1" customWidth="1"/>
    <col min="530" max="530" width="1.7109375" style="1" customWidth="1"/>
    <col min="531" max="531" width="13.5703125" style="1" customWidth="1"/>
    <col min="532" max="768" width="9.140625" style="1"/>
    <col min="769" max="769" width="9.28515625" style="1" customWidth="1"/>
    <col min="770" max="770" width="1.7109375" style="1" customWidth="1"/>
    <col min="771" max="774" width="12" style="1" customWidth="1"/>
    <col min="775" max="775" width="11.85546875" style="1" customWidth="1"/>
    <col min="776" max="776" width="10.7109375" style="1" customWidth="1"/>
    <col min="777" max="777" width="10.5703125" style="1" customWidth="1"/>
    <col min="778" max="778" width="1.140625" style="1" customWidth="1"/>
    <col min="779" max="779" width="11.28515625" style="1" customWidth="1"/>
    <col min="780" max="780" width="12.7109375" style="1" customWidth="1"/>
    <col min="781" max="781" width="11.5703125" style="1" customWidth="1"/>
    <col min="782" max="782" width="12.42578125" style="1" customWidth="1"/>
    <col min="783" max="783" width="1.5703125" style="1" customWidth="1"/>
    <col min="784" max="784" width="11.42578125" style="1" customWidth="1"/>
    <col min="785" max="785" width="12.140625" style="1" customWidth="1"/>
    <col min="786" max="786" width="1.7109375" style="1" customWidth="1"/>
    <col min="787" max="787" width="13.5703125" style="1" customWidth="1"/>
    <col min="788" max="1024" width="9.140625" style="1"/>
    <col min="1025" max="1025" width="9.28515625" style="1" customWidth="1"/>
    <col min="1026" max="1026" width="1.7109375" style="1" customWidth="1"/>
    <col min="1027" max="1030" width="12" style="1" customWidth="1"/>
    <col min="1031" max="1031" width="11.85546875" style="1" customWidth="1"/>
    <col min="1032" max="1032" width="10.7109375" style="1" customWidth="1"/>
    <col min="1033" max="1033" width="10.5703125" style="1" customWidth="1"/>
    <col min="1034" max="1034" width="1.140625" style="1" customWidth="1"/>
    <col min="1035" max="1035" width="11.28515625" style="1" customWidth="1"/>
    <col min="1036" max="1036" width="12.7109375" style="1" customWidth="1"/>
    <col min="1037" max="1037" width="11.5703125" style="1" customWidth="1"/>
    <col min="1038" max="1038" width="12.42578125" style="1" customWidth="1"/>
    <col min="1039" max="1039" width="1.5703125" style="1" customWidth="1"/>
    <col min="1040" max="1040" width="11.42578125" style="1" customWidth="1"/>
    <col min="1041" max="1041" width="12.140625" style="1" customWidth="1"/>
    <col min="1042" max="1042" width="1.7109375" style="1" customWidth="1"/>
    <col min="1043" max="1043" width="13.5703125" style="1" customWidth="1"/>
    <col min="1044" max="1280" width="9.140625" style="1"/>
    <col min="1281" max="1281" width="9.28515625" style="1" customWidth="1"/>
    <col min="1282" max="1282" width="1.7109375" style="1" customWidth="1"/>
    <col min="1283" max="1286" width="12" style="1" customWidth="1"/>
    <col min="1287" max="1287" width="11.85546875" style="1" customWidth="1"/>
    <col min="1288" max="1288" width="10.7109375" style="1" customWidth="1"/>
    <col min="1289" max="1289" width="10.5703125" style="1" customWidth="1"/>
    <col min="1290" max="1290" width="1.140625" style="1" customWidth="1"/>
    <col min="1291" max="1291" width="11.28515625" style="1" customWidth="1"/>
    <col min="1292" max="1292" width="12.7109375" style="1" customWidth="1"/>
    <col min="1293" max="1293" width="11.5703125" style="1" customWidth="1"/>
    <col min="1294" max="1294" width="12.42578125" style="1" customWidth="1"/>
    <col min="1295" max="1295" width="1.5703125" style="1" customWidth="1"/>
    <col min="1296" max="1296" width="11.42578125" style="1" customWidth="1"/>
    <col min="1297" max="1297" width="12.140625" style="1" customWidth="1"/>
    <col min="1298" max="1298" width="1.7109375" style="1" customWidth="1"/>
    <col min="1299" max="1299" width="13.5703125" style="1" customWidth="1"/>
    <col min="1300" max="1536" width="9.140625" style="1"/>
    <col min="1537" max="1537" width="9.28515625" style="1" customWidth="1"/>
    <col min="1538" max="1538" width="1.7109375" style="1" customWidth="1"/>
    <col min="1539" max="1542" width="12" style="1" customWidth="1"/>
    <col min="1543" max="1543" width="11.85546875" style="1" customWidth="1"/>
    <col min="1544" max="1544" width="10.7109375" style="1" customWidth="1"/>
    <col min="1545" max="1545" width="10.5703125" style="1" customWidth="1"/>
    <col min="1546" max="1546" width="1.140625" style="1" customWidth="1"/>
    <col min="1547" max="1547" width="11.28515625" style="1" customWidth="1"/>
    <col min="1548" max="1548" width="12.7109375" style="1" customWidth="1"/>
    <col min="1549" max="1549" width="11.5703125" style="1" customWidth="1"/>
    <col min="1550" max="1550" width="12.42578125" style="1" customWidth="1"/>
    <col min="1551" max="1551" width="1.5703125" style="1" customWidth="1"/>
    <col min="1552" max="1552" width="11.42578125" style="1" customWidth="1"/>
    <col min="1553" max="1553" width="12.140625" style="1" customWidth="1"/>
    <col min="1554" max="1554" width="1.7109375" style="1" customWidth="1"/>
    <col min="1555" max="1555" width="13.5703125" style="1" customWidth="1"/>
    <col min="1556" max="1792" width="9.140625" style="1"/>
    <col min="1793" max="1793" width="9.28515625" style="1" customWidth="1"/>
    <col min="1794" max="1794" width="1.7109375" style="1" customWidth="1"/>
    <col min="1795" max="1798" width="12" style="1" customWidth="1"/>
    <col min="1799" max="1799" width="11.85546875" style="1" customWidth="1"/>
    <col min="1800" max="1800" width="10.7109375" style="1" customWidth="1"/>
    <col min="1801" max="1801" width="10.5703125" style="1" customWidth="1"/>
    <col min="1802" max="1802" width="1.140625" style="1" customWidth="1"/>
    <col min="1803" max="1803" width="11.28515625" style="1" customWidth="1"/>
    <col min="1804" max="1804" width="12.7109375" style="1" customWidth="1"/>
    <col min="1805" max="1805" width="11.5703125" style="1" customWidth="1"/>
    <col min="1806" max="1806" width="12.42578125" style="1" customWidth="1"/>
    <col min="1807" max="1807" width="1.5703125" style="1" customWidth="1"/>
    <col min="1808" max="1808" width="11.42578125" style="1" customWidth="1"/>
    <col min="1809" max="1809" width="12.140625" style="1" customWidth="1"/>
    <col min="1810" max="1810" width="1.7109375" style="1" customWidth="1"/>
    <col min="1811" max="1811" width="13.5703125" style="1" customWidth="1"/>
    <col min="1812" max="2048" width="9.140625" style="1"/>
    <col min="2049" max="2049" width="9.28515625" style="1" customWidth="1"/>
    <col min="2050" max="2050" width="1.7109375" style="1" customWidth="1"/>
    <col min="2051" max="2054" width="12" style="1" customWidth="1"/>
    <col min="2055" max="2055" width="11.85546875" style="1" customWidth="1"/>
    <col min="2056" max="2056" width="10.7109375" style="1" customWidth="1"/>
    <col min="2057" max="2057" width="10.5703125" style="1" customWidth="1"/>
    <col min="2058" max="2058" width="1.140625" style="1" customWidth="1"/>
    <col min="2059" max="2059" width="11.28515625" style="1" customWidth="1"/>
    <col min="2060" max="2060" width="12.7109375" style="1" customWidth="1"/>
    <col min="2061" max="2061" width="11.5703125" style="1" customWidth="1"/>
    <col min="2062" max="2062" width="12.42578125" style="1" customWidth="1"/>
    <col min="2063" max="2063" width="1.5703125" style="1" customWidth="1"/>
    <col min="2064" max="2064" width="11.42578125" style="1" customWidth="1"/>
    <col min="2065" max="2065" width="12.140625" style="1" customWidth="1"/>
    <col min="2066" max="2066" width="1.7109375" style="1" customWidth="1"/>
    <col min="2067" max="2067" width="13.5703125" style="1" customWidth="1"/>
    <col min="2068" max="2304" width="9.140625" style="1"/>
    <col min="2305" max="2305" width="9.28515625" style="1" customWidth="1"/>
    <col min="2306" max="2306" width="1.7109375" style="1" customWidth="1"/>
    <col min="2307" max="2310" width="12" style="1" customWidth="1"/>
    <col min="2311" max="2311" width="11.85546875" style="1" customWidth="1"/>
    <col min="2312" max="2312" width="10.7109375" style="1" customWidth="1"/>
    <col min="2313" max="2313" width="10.5703125" style="1" customWidth="1"/>
    <col min="2314" max="2314" width="1.140625" style="1" customWidth="1"/>
    <col min="2315" max="2315" width="11.28515625" style="1" customWidth="1"/>
    <col min="2316" max="2316" width="12.7109375" style="1" customWidth="1"/>
    <col min="2317" max="2317" width="11.5703125" style="1" customWidth="1"/>
    <col min="2318" max="2318" width="12.42578125" style="1" customWidth="1"/>
    <col min="2319" max="2319" width="1.5703125" style="1" customWidth="1"/>
    <col min="2320" max="2320" width="11.42578125" style="1" customWidth="1"/>
    <col min="2321" max="2321" width="12.140625" style="1" customWidth="1"/>
    <col min="2322" max="2322" width="1.7109375" style="1" customWidth="1"/>
    <col min="2323" max="2323" width="13.5703125" style="1" customWidth="1"/>
    <col min="2324" max="2560" width="9.140625" style="1"/>
    <col min="2561" max="2561" width="9.28515625" style="1" customWidth="1"/>
    <col min="2562" max="2562" width="1.7109375" style="1" customWidth="1"/>
    <col min="2563" max="2566" width="12" style="1" customWidth="1"/>
    <col min="2567" max="2567" width="11.85546875" style="1" customWidth="1"/>
    <col min="2568" max="2568" width="10.7109375" style="1" customWidth="1"/>
    <col min="2569" max="2569" width="10.5703125" style="1" customWidth="1"/>
    <col min="2570" max="2570" width="1.140625" style="1" customWidth="1"/>
    <col min="2571" max="2571" width="11.28515625" style="1" customWidth="1"/>
    <col min="2572" max="2572" width="12.7109375" style="1" customWidth="1"/>
    <col min="2573" max="2573" width="11.5703125" style="1" customWidth="1"/>
    <col min="2574" max="2574" width="12.42578125" style="1" customWidth="1"/>
    <col min="2575" max="2575" width="1.5703125" style="1" customWidth="1"/>
    <col min="2576" max="2576" width="11.42578125" style="1" customWidth="1"/>
    <col min="2577" max="2577" width="12.140625" style="1" customWidth="1"/>
    <col min="2578" max="2578" width="1.7109375" style="1" customWidth="1"/>
    <col min="2579" max="2579" width="13.5703125" style="1" customWidth="1"/>
    <col min="2580" max="2816" width="9.140625" style="1"/>
    <col min="2817" max="2817" width="9.28515625" style="1" customWidth="1"/>
    <col min="2818" max="2818" width="1.7109375" style="1" customWidth="1"/>
    <col min="2819" max="2822" width="12" style="1" customWidth="1"/>
    <col min="2823" max="2823" width="11.85546875" style="1" customWidth="1"/>
    <col min="2824" max="2824" width="10.7109375" style="1" customWidth="1"/>
    <col min="2825" max="2825" width="10.5703125" style="1" customWidth="1"/>
    <col min="2826" max="2826" width="1.140625" style="1" customWidth="1"/>
    <col min="2827" max="2827" width="11.28515625" style="1" customWidth="1"/>
    <col min="2828" max="2828" width="12.7109375" style="1" customWidth="1"/>
    <col min="2829" max="2829" width="11.5703125" style="1" customWidth="1"/>
    <col min="2830" max="2830" width="12.42578125" style="1" customWidth="1"/>
    <col min="2831" max="2831" width="1.5703125" style="1" customWidth="1"/>
    <col min="2832" max="2832" width="11.42578125" style="1" customWidth="1"/>
    <col min="2833" max="2833" width="12.140625" style="1" customWidth="1"/>
    <col min="2834" max="2834" width="1.7109375" style="1" customWidth="1"/>
    <col min="2835" max="2835" width="13.5703125" style="1" customWidth="1"/>
    <col min="2836" max="3072" width="9.140625" style="1"/>
    <col min="3073" max="3073" width="9.28515625" style="1" customWidth="1"/>
    <col min="3074" max="3074" width="1.7109375" style="1" customWidth="1"/>
    <col min="3075" max="3078" width="12" style="1" customWidth="1"/>
    <col min="3079" max="3079" width="11.85546875" style="1" customWidth="1"/>
    <col min="3080" max="3080" width="10.7109375" style="1" customWidth="1"/>
    <col min="3081" max="3081" width="10.5703125" style="1" customWidth="1"/>
    <col min="3082" max="3082" width="1.140625" style="1" customWidth="1"/>
    <col min="3083" max="3083" width="11.28515625" style="1" customWidth="1"/>
    <col min="3084" max="3084" width="12.7109375" style="1" customWidth="1"/>
    <col min="3085" max="3085" width="11.5703125" style="1" customWidth="1"/>
    <col min="3086" max="3086" width="12.42578125" style="1" customWidth="1"/>
    <col min="3087" max="3087" width="1.5703125" style="1" customWidth="1"/>
    <col min="3088" max="3088" width="11.42578125" style="1" customWidth="1"/>
    <col min="3089" max="3089" width="12.140625" style="1" customWidth="1"/>
    <col min="3090" max="3090" width="1.7109375" style="1" customWidth="1"/>
    <col min="3091" max="3091" width="13.5703125" style="1" customWidth="1"/>
    <col min="3092" max="3328" width="9.140625" style="1"/>
    <col min="3329" max="3329" width="9.28515625" style="1" customWidth="1"/>
    <col min="3330" max="3330" width="1.7109375" style="1" customWidth="1"/>
    <col min="3331" max="3334" width="12" style="1" customWidth="1"/>
    <col min="3335" max="3335" width="11.85546875" style="1" customWidth="1"/>
    <col min="3336" max="3336" width="10.7109375" style="1" customWidth="1"/>
    <col min="3337" max="3337" width="10.5703125" style="1" customWidth="1"/>
    <col min="3338" max="3338" width="1.140625" style="1" customWidth="1"/>
    <col min="3339" max="3339" width="11.28515625" style="1" customWidth="1"/>
    <col min="3340" max="3340" width="12.7109375" style="1" customWidth="1"/>
    <col min="3341" max="3341" width="11.5703125" style="1" customWidth="1"/>
    <col min="3342" max="3342" width="12.42578125" style="1" customWidth="1"/>
    <col min="3343" max="3343" width="1.5703125" style="1" customWidth="1"/>
    <col min="3344" max="3344" width="11.42578125" style="1" customWidth="1"/>
    <col min="3345" max="3345" width="12.140625" style="1" customWidth="1"/>
    <col min="3346" max="3346" width="1.7109375" style="1" customWidth="1"/>
    <col min="3347" max="3347" width="13.5703125" style="1" customWidth="1"/>
    <col min="3348" max="3584" width="9.140625" style="1"/>
    <col min="3585" max="3585" width="9.28515625" style="1" customWidth="1"/>
    <col min="3586" max="3586" width="1.7109375" style="1" customWidth="1"/>
    <col min="3587" max="3590" width="12" style="1" customWidth="1"/>
    <col min="3591" max="3591" width="11.85546875" style="1" customWidth="1"/>
    <col min="3592" max="3592" width="10.7109375" style="1" customWidth="1"/>
    <col min="3593" max="3593" width="10.5703125" style="1" customWidth="1"/>
    <col min="3594" max="3594" width="1.140625" style="1" customWidth="1"/>
    <col min="3595" max="3595" width="11.28515625" style="1" customWidth="1"/>
    <col min="3596" max="3596" width="12.7109375" style="1" customWidth="1"/>
    <col min="3597" max="3597" width="11.5703125" style="1" customWidth="1"/>
    <col min="3598" max="3598" width="12.42578125" style="1" customWidth="1"/>
    <col min="3599" max="3599" width="1.5703125" style="1" customWidth="1"/>
    <col min="3600" max="3600" width="11.42578125" style="1" customWidth="1"/>
    <col min="3601" max="3601" width="12.140625" style="1" customWidth="1"/>
    <col min="3602" max="3602" width="1.7109375" style="1" customWidth="1"/>
    <col min="3603" max="3603" width="13.5703125" style="1" customWidth="1"/>
    <col min="3604" max="3840" width="9.140625" style="1"/>
    <col min="3841" max="3841" width="9.28515625" style="1" customWidth="1"/>
    <col min="3842" max="3842" width="1.7109375" style="1" customWidth="1"/>
    <col min="3843" max="3846" width="12" style="1" customWidth="1"/>
    <col min="3847" max="3847" width="11.85546875" style="1" customWidth="1"/>
    <col min="3848" max="3848" width="10.7109375" style="1" customWidth="1"/>
    <col min="3849" max="3849" width="10.5703125" style="1" customWidth="1"/>
    <col min="3850" max="3850" width="1.140625" style="1" customWidth="1"/>
    <col min="3851" max="3851" width="11.28515625" style="1" customWidth="1"/>
    <col min="3852" max="3852" width="12.7109375" style="1" customWidth="1"/>
    <col min="3853" max="3853" width="11.5703125" style="1" customWidth="1"/>
    <col min="3854" max="3854" width="12.42578125" style="1" customWidth="1"/>
    <col min="3855" max="3855" width="1.5703125" style="1" customWidth="1"/>
    <col min="3856" max="3856" width="11.42578125" style="1" customWidth="1"/>
    <col min="3857" max="3857" width="12.140625" style="1" customWidth="1"/>
    <col min="3858" max="3858" width="1.7109375" style="1" customWidth="1"/>
    <col min="3859" max="3859" width="13.5703125" style="1" customWidth="1"/>
    <col min="3860" max="4096" width="9.140625" style="1"/>
    <col min="4097" max="4097" width="9.28515625" style="1" customWidth="1"/>
    <col min="4098" max="4098" width="1.7109375" style="1" customWidth="1"/>
    <col min="4099" max="4102" width="12" style="1" customWidth="1"/>
    <col min="4103" max="4103" width="11.85546875" style="1" customWidth="1"/>
    <col min="4104" max="4104" width="10.7109375" style="1" customWidth="1"/>
    <col min="4105" max="4105" width="10.5703125" style="1" customWidth="1"/>
    <col min="4106" max="4106" width="1.140625" style="1" customWidth="1"/>
    <col min="4107" max="4107" width="11.28515625" style="1" customWidth="1"/>
    <col min="4108" max="4108" width="12.7109375" style="1" customWidth="1"/>
    <col min="4109" max="4109" width="11.5703125" style="1" customWidth="1"/>
    <col min="4110" max="4110" width="12.42578125" style="1" customWidth="1"/>
    <col min="4111" max="4111" width="1.5703125" style="1" customWidth="1"/>
    <col min="4112" max="4112" width="11.42578125" style="1" customWidth="1"/>
    <col min="4113" max="4113" width="12.140625" style="1" customWidth="1"/>
    <col min="4114" max="4114" width="1.7109375" style="1" customWidth="1"/>
    <col min="4115" max="4115" width="13.5703125" style="1" customWidth="1"/>
    <col min="4116" max="4352" width="9.140625" style="1"/>
    <col min="4353" max="4353" width="9.28515625" style="1" customWidth="1"/>
    <col min="4354" max="4354" width="1.7109375" style="1" customWidth="1"/>
    <col min="4355" max="4358" width="12" style="1" customWidth="1"/>
    <col min="4359" max="4359" width="11.85546875" style="1" customWidth="1"/>
    <col min="4360" max="4360" width="10.7109375" style="1" customWidth="1"/>
    <col min="4361" max="4361" width="10.5703125" style="1" customWidth="1"/>
    <col min="4362" max="4362" width="1.140625" style="1" customWidth="1"/>
    <col min="4363" max="4363" width="11.28515625" style="1" customWidth="1"/>
    <col min="4364" max="4364" width="12.7109375" style="1" customWidth="1"/>
    <col min="4365" max="4365" width="11.5703125" style="1" customWidth="1"/>
    <col min="4366" max="4366" width="12.42578125" style="1" customWidth="1"/>
    <col min="4367" max="4367" width="1.5703125" style="1" customWidth="1"/>
    <col min="4368" max="4368" width="11.42578125" style="1" customWidth="1"/>
    <col min="4369" max="4369" width="12.140625" style="1" customWidth="1"/>
    <col min="4370" max="4370" width="1.7109375" style="1" customWidth="1"/>
    <col min="4371" max="4371" width="13.5703125" style="1" customWidth="1"/>
    <col min="4372" max="4608" width="9.140625" style="1"/>
    <col min="4609" max="4609" width="9.28515625" style="1" customWidth="1"/>
    <col min="4610" max="4610" width="1.7109375" style="1" customWidth="1"/>
    <col min="4611" max="4614" width="12" style="1" customWidth="1"/>
    <col min="4615" max="4615" width="11.85546875" style="1" customWidth="1"/>
    <col min="4616" max="4616" width="10.7109375" style="1" customWidth="1"/>
    <col min="4617" max="4617" width="10.5703125" style="1" customWidth="1"/>
    <col min="4618" max="4618" width="1.140625" style="1" customWidth="1"/>
    <col min="4619" max="4619" width="11.28515625" style="1" customWidth="1"/>
    <col min="4620" max="4620" width="12.7109375" style="1" customWidth="1"/>
    <col min="4621" max="4621" width="11.5703125" style="1" customWidth="1"/>
    <col min="4622" max="4622" width="12.42578125" style="1" customWidth="1"/>
    <col min="4623" max="4623" width="1.5703125" style="1" customWidth="1"/>
    <col min="4624" max="4624" width="11.42578125" style="1" customWidth="1"/>
    <col min="4625" max="4625" width="12.140625" style="1" customWidth="1"/>
    <col min="4626" max="4626" width="1.7109375" style="1" customWidth="1"/>
    <col min="4627" max="4627" width="13.5703125" style="1" customWidth="1"/>
    <col min="4628" max="4864" width="9.140625" style="1"/>
    <col min="4865" max="4865" width="9.28515625" style="1" customWidth="1"/>
    <col min="4866" max="4866" width="1.7109375" style="1" customWidth="1"/>
    <col min="4867" max="4870" width="12" style="1" customWidth="1"/>
    <col min="4871" max="4871" width="11.85546875" style="1" customWidth="1"/>
    <col min="4872" max="4872" width="10.7109375" style="1" customWidth="1"/>
    <col min="4873" max="4873" width="10.5703125" style="1" customWidth="1"/>
    <col min="4874" max="4874" width="1.140625" style="1" customWidth="1"/>
    <col min="4875" max="4875" width="11.28515625" style="1" customWidth="1"/>
    <col min="4876" max="4876" width="12.7109375" style="1" customWidth="1"/>
    <col min="4877" max="4877" width="11.5703125" style="1" customWidth="1"/>
    <col min="4878" max="4878" width="12.42578125" style="1" customWidth="1"/>
    <col min="4879" max="4879" width="1.5703125" style="1" customWidth="1"/>
    <col min="4880" max="4880" width="11.42578125" style="1" customWidth="1"/>
    <col min="4881" max="4881" width="12.140625" style="1" customWidth="1"/>
    <col min="4882" max="4882" width="1.7109375" style="1" customWidth="1"/>
    <col min="4883" max="4883" width="13.5703125" style="1" customWidth="1"/>
    <col min="4884" max="5120" width="9.140625" style="1"/>
    <col min="5121" max="5121" width="9.28515625" style="1" customWidth="1"/>
    <col min="5122" max="5122" width="1.7109375" style="1" customWidth="1"/>
    <col min="5123" max="5126" width="12" style="1" customWidth="1"/>
    <col min="5127" max="5127" width="11.85546875" style="1" customWidth="1"/>
    <col min="5128" max="5128" width="10.7109375" style="1" customWidth="1"/>
    <col min="5129" max="5129" width="10.5703125" style="1" customWidth="1"/>
    <col min="5130" max="5130" width="1.140625" style="1" customWidth="1"/>
    <col min="5131" max="5131" width="11.28515625" style="1" customWidth="1"/>
    <col min="5132" max="5132" width="12.7109375" style="1" customWidth="1"/>
    <col min="5133" max="5133" width="11.5703125" style="1" customWidth="1"/>
    <col min="5134" max="5134" width="12.42578125" style="1" customWidth="1"/>
    <col min="5135" max="5135" width="1.5703125" style="1" customWidth="1"/>
    <col min="5136" max="5136" width="11.42578125" style="1" customWidth="1"/>
    <col min="5137" max="5137" width="12.140625" style="1" customWidth="1"/>
    <col min="5138" max="5138" width="1.7109375" style="1" customWidth="1"/>
    <col min="5139" max="5139" width="13.5703125" style="1" customWidth="1"/>
    <col min="5140" max="5376" width="9.140625" style="1"/>
    <col min="5377" max="5377" width="9.28515625" style="1" customWidth="1"/>
    <col min="5378" max="5378" width="1.7109375" style="1" customWidth="1"/>
    <col min="5379" max="5382" width="12" style="1" customWidth="1"/>
    <col min="5383" max="5383" width="11.85546875" style="1" customWidth="1"/>
    <col min="5384" max="5384" width="10.7109375" style="1" customWidth="1"/>
    <col min="5385" max="5385" width="10.5703125" style="1" customWidth="1"/>
    <col min="5386" max="5386" width="1.140625" style="1" customWidth="1"/>
    <col min="5387" max="5387" width="11.28515625" style="1" customWidth="1"/>
    <col min="5388" max="5388" width="12.7109375" style="1" customWidth="1"/>
    <col min="5389" max="5389" width="11.5703125" style="1" customWidth="1"/>
    <col min="5390" max="5390" width="12.42578125" style="1" customWidth="1"/>
    <col min="5391" max="5391" width="1.5703125" style="1" customWidth="1"/>
    <col min="5392" max="5392" width="11.42578125" style="1" customWidth="1"/>
    <col min="5393" max="5393" width="12.140625" style="1" customWidth="1"/>
    <col min="5394" max="5394" width="1.7109375" style="1" customWidth="1"/>
    <col min="5395" max="5395" width="13.5703125" style="1" customWidth="1"/>
    <col min="5396" max="5632" width="9.140625" style="1"/>
    <col min="5633" max="5633" width="9.28515625" style="1" customWidth="1"/>
    <col min="5634" max="5634" width="1.7109375" style="1" customWidth="1"/>
    <col min="5635" max="5638" width="12" style="1" customWidth="1"/>
    <col min="5639" max="5639" width="11.85546875" style="1" customWidth="1"/>
    <col min="5640" max="5640" width="10.7109375" style="1" customWidth="1"/>
    <col min="5641" max="5641" width="10.5703125" style="1" customWidth="1"/>
    <col min="5642" max="5642" width="1.140625" style="1" customWidth="1"/>
    <col min="5643" max="5643" width="11.28515625" style="1" customWidth="1"/>
    <col min="5644" max="5644" width="12.7109375" style="1" customWidth="1"/>
    <col min="5645" max="5645" width="11.5703125" style="1" customWidth="1"/>
    <col min="5646" max="5646" width="12.42578125" style="1" customWidth="1"/>
    <col min="5647" max="5647" width="1.5703125" style="1" customWidth="1"/>
    <col min="5648" max="5648" width="11.42578125" style="1" customWidth="1"/>
    <col min="5649" max="5649" width="12.140625" style="1" customWidth="1"/>
    <col min="5650" max="5650" width="1.7109375" style="1" customWidth="1"/>
    <col min="5651" max="5651" width="13.5703125" style="1" customWidth="1"/>
    <col min="5652" max="5888" width="9.140625" style="1"/>
    <col min="5889" max="5889" width="9.28515625" style="1" customWidth="1"/>
    <col min="5890" max="5890" width="1.7109375" style="1" customWidth="1"/>
    <col min="5891" max="5894" width="12" style="1" customWidth="1"/>
    <col min="5895" max="5895" width="11.85546875" style="1" customWidth="1"/>
    <col min="5896" max="5896" width="10.7109375" style="1" customWidth="1"/>
    <col min="5897" max="5897" width="10.5703125" style="1" customWidth="1"/>
    <col min="5898" max="5898" width="1.140625" style="1" customWidth="1"/>
    <col min="5899" max="5899" width="11.28515625" style="1" customWidth="1"/>
    <col min="5900" max="5900" width="12.7109375" style="1" customWidth="1"/>
    <col min="5901" max="5901" width="11.5703125" style="1" customWidth="1"/>
    <col min="5902" max="5902" width="12.42578125" style="1" customWidth="1"/>
    <col min="5903" max="5903" width="1.5703125" style="1" customWidth="1"/>
    <col min="5904" max="5904" width="11.42578125" style="1" customWidth="1"/>
    <col min="5905" max="5905" width="12.140625" style="1" customWidth="1"/>
    <col min="5906" max="5906" width="1.7109375" style="1" customWidth="1"/>
    <col min="5907" max="5907" width="13.5703125" style="1" customWidth="1"/>
    <col min="5908" max="6144" width="9.140625" style="1"/>
    <col min="6145" max="6145" width="9.28515625" style="1" customWidth="1"/>
    <col min="6146" max="6146" width="1.7109375" style="1" customWidth="1"/>
    <col min="6147" max="6150" width="12" style="1" customWidth="1"/>
    <col min="6151" max="6151" width="11.85546875" style="1" customWidth="1"/>
    <col min="6152" max="6152" width="10.7109375" style="1" customWidth="1"/>
    <col min="6153" max="6153" width="10.5703125" style="1" customWidth="1"/>
    <col min="6154" max="6154" width="1.140625" style="1" customWidth="1"/>
    <col min="6155" max="6155" width="11.28515625" style="1" customWidth="1"/>
    <col min="6156" max="6156" width="12.7109375" style="1" customWidth="1"/>
    <col min="6157" max="6157" width="11.5703125" style="1" customWidth="1"/>
    <col min="6158" max="6158" width="12.42578125" style="1" customWidth="1"/>
    <col min="6159" max="6159" width="1.5703125" style="1" customWidth="1"/>
    <col min="6160" max="6160" width="11.42578125" style="1" customWidth="1"/>
    <col min="6161" max="6161" width="12.140625" style="1" customWidth="1"/>
    <col min="6162" max="6162" width="1.7109375" style="1" customWidth="1"/>
    <col min="6163" max="6163" width="13.5703125" style="1" customWidth="1"/>
    <col min="6164" max="6400" width="9.140625" style="1"/>
    <col min="6401" max="6401" width="9.28515625" style="1" customWidth="1"/>
    <col min="6402" max="6402" width="1.7109375" style="1" customWidth="1"/>
    <col min="6403" max="6406" width="12" style="1" customWidth="1"/>
    <col min="6407" max="6407" width="11.85546875" style="1" customWidth="1"/>
    <col min="6408" max="6408" width="10.7109375" style="1" customWidth="1"/>
    <col min="6409" max="6409" width="10.5703125" style="1" customWidth="1"/>
    <col min="6410" max="6410" width="1.140625" style="1" customWidth="1"/>
    <col min="6411" max="6411" width="11.28515625" style="1" customWidth="1"/>
    <col min="6412" max="6412" width="12.7109375" style="1" customWidth="1"/>
    <col min="6413" max="6413" width="11.5703125" style="1" customWidth="1"/>
    <col min="6414" max="6414" width="12.42578125" style="1" customWidth="1"/>
    <col min="6415" max="6415" width="1.5703125" style="1" customWidth="1"/>
    <col min="6416" max="6416" width="11.42578125" style="1" customWidth="1"/>
    <col min="6417" max="6417" width="12.140625" style="1" customWidth="1"/>
    <col min="6418" max="6418" width="1.7109375" style="1" customWidth="1"/>
    <col min="6419" max="6419" width="13.5703125" style="1" customWidth="1"/>
    <col min="6420" max="6656" width="9.140625" style="1"/>
    <col min="6657" max="6657" width="9.28515625" style="1" customWidth="1"/>
    <col min="6658" max="6658" width="1.7109375" style="1" customWidth="1"/>
    <col min="6659" max="6662" width="12" style="1" customWidth="1"/>
    <col min="6663" max="6663" width="11.85546875" style="1" customWidth="1"/>
    <col min="6664" max="6664" width="10.7109375" style="1" customWidth="1"/>
    <col min="6665" max="6665" width="10.5703125" style="1" customWidth="1"/>
    <col min="6666" max="6666" width="1.140625" style="1" customWidth="1"/>
    <col min="6667" max="6667" width="11.28515625" style="1" customWidth="1"/>
    <col min="6668" max="6668" width="12.7109375" style="1" customWidth="1"/>
    <col min="6669" max="6669" width="11.5703125" style="1" customWidth="1"/>
    <col min="6670" max="6670" width="12.42578125" style="1" customWidth="1"/>
    <col min="6671" max="6671" width="1.5703125" style="1" customWidth="1"/>
    <col min="6672" max="6672" width="11.42578125" style="1" customWidth="1"/>
    <col min="6673" max="6673" width="12.140625" style="1" customWidth="1"/>
    <col min="6674" max="6674" width="1.7109375" style="1" customWidth="1"/>
    <col min="6675" max="6675" width="13.5703125" style="1" customWidth="1"/>
    <col min="6676" max="6912" width="9.140625" style="1"/>
    <col min="6913" max="6913" width="9.28515625" style="1" customWidth="1"/>
    <col min="6914" max="6914" width="1.7109375" style="1" customWidth="1"/>
    <col min="6915" max="6918" width="12" style="1" customWidth="1"/>
    <col min="6919" max="6919" width="11.85546875" style="1" customWidth="1"/>
    <col min="6920" max="6920" width="10.7109375" style="1" customWidth="1"/>
    <col min="6921" max="6921" width="10.5703125" style="1" customWidth="1"/>
    <col min="6922" max="6922" width="1.140625" style="1" customWidth="1"/>
    <col min="6923" max="6923" width="11.28515625" style="1" customWidth="1"/>
    <col min="6924" max="6924" width="12.7109375" style="1" customWidth="1"/>
    <col min="6925" max="6925" width="11.5703125" style="1" customWidth="1"/>
    <col min="6926" max="6926" width="12.42578125" style="1" customWidth="1"/>
    <col min="6927" max="6927" width="1.5703125" style="1" customWidth="1"/>
    <col min="6928" max="6928" width="11.42578125" style="1" customWidth="1"/>
    <col min="6929" max="6929" width="12.140625" style="1" customWidth="1"/>
    <col min="6930" max="6930" width="1.7109375" style="1" customWidth="1"/>
    <col min="6931" max="6931" width="13.5703125" style="1" customWidth="1"/>
    <col min="6932" max="7168" width="9.140625" style="1"/>
    <col min="7169" max="7169" width="9.28515625" style="1" customWidth="1"/>
    <col min="7170" max="7170" width="1.7109375" style="1" customWidth="1"/>
    <col min="7171" max="7174" width="12" style="1" customWidth="1"/>
    <col min="7175" max="7175" width="11.85546875" style="1" customWidth="1"/>
    <col min="7176" max="7176" width="10.7109375" style="1" customWidth="1"/>
    <col min="7177" max="7177" width="10.5703125" style="1" customWidth="1"/>
    <col min="7178" max="7178" width="1.140625" style="1" customWidth="1"/>
    <col min="7179" max="7179" width="11.28515625" style="1" customWidth="1"/>
    <col min="7180" max="7180" width="12.7109375" style="1" customWidth="1"/>
    <col min="7181" max="7181" width="11.5703125" style="1" customWidth="1"/>
    <col min="7182" max="7182" width="12.42578125" style="1" customWidth="1"/>
    <col min="7183" max="7183" width="1.5703125" style="1" customWidth="1"/>
    <col min="7184" max="7184" width="11.42578125" style="1" customWidth="1"/>
    <col min="7185" max="7185" width="12.140625" style="1" customWidth="1"/>
    <col min="7186" max="7186" width="1.7109375" style="1" customWidth="1"/>
    <col min="7187" max="7187" width="13.5703125" style="1" customWidth="1"/>
    <col min="7188" max="7424" width="9.140625" style="1"/>
    <col min="7425" max="7425" width="9.28515625" style="1" customWidth="1"/>
    <col min="7426" max="7426" width="1.7109375" style="1" customWidth="1"/>
    <col min="7427" max="7430" width="12" style="1" customWidth="1"/>
    <col min="7431" max="7431" width="11.85546875" style="1" customWidth="1"/>
    <col min="7432" max="7432" width="10.7109375" style="1" customWidth="1"/>
    <col min="7433" max="7433" width="10.5703125" style="1" customWidth="1"/>
    <col min="7434" max="7434" width="1.140625" style="1" customWidth="1"/>
    <col min="7435" max="7435" width="11.28515625" style="1" customWidth="1"/>
    <col min="7436" max="7436" width="12.7109375" style="1" customWidth="1"/>
    <col min="7437" max="7437" width="11.5703125" style="1" customWidth="1"/>
    <col min="7438" max="7438" width="12.42578125" style="1" customWidth="1"/>
    <col min="7439" max="7439" width="1.5703125" style="1" customWidth="1"/>
    <col min="7440" max="7440" width="11.42578125" style="1" customWidth="1"/>
    <col min="7441" max="7441" width="12.140625" style="1" customWidth="1"/>
    <col min="7442" max="7442" width="1.7109375" style="1" customWidth="1"/>
    <col min="7443" max="7443" width="13.5703125" style="1" customWidth="1"/>
    <col min="7444" max="7680" width="9.140625" style="1"/>
    <col min="7681" max="7681" width="9.28515625" style="1" customWidth="1"/>
    <col min="7682" max="7682" width="1.7109375" style="1" customWidth="1"/>
    <col min="7683" max="7686" width="12" style="1" customWidth="1"/>
    <col min="7687" max="7687" width="11.85546875" style="1" customWidth="1"/>
    <col min="7688" max="7688" width="10.7109375" style="1" customWidth="1"/>
    <col min="7689" max="7689" width="10.5703125" style="1" customWidth="1"/>
    <col min="7690" max="7690" width="1.140625" style="1" customWidth="1"/>
    <col min="7691" max="7691" width="11.28515625" style="1" customWidth="1"/>
    <col min="7692" max="7692" width="12.7109375" style="1" customWidth="1"/>
    <col min="7693" max="7693" width="11.5703125" style="1" customWidth="1"/>
    <col min="7694" max="7694" width="12.42578125" style="1" customWidth="1"/>
    <col min="7695" max="7695" width="1.5703125" style="1" customWidth="1"/>
    <col min="7696" max="7696" width="11.42578125" style="1" customWidth="1"/>
    <col min="7697" max="7697" width="12.140625" style="1" customWidth="1"/>
    <col min="7698" max="7698" width="1.7109375" style="1" customWidth="1"/>
    <col min="7699" max="7699" width="13.5703125" style="1" customWidth="1"/>
    <col min="7700" max="7936" width="9.140625" style="1"/>
    <col min="7937" max="7937" width="9.28515625" style="1" customWidth="1"/>
    <col min="7938" max="7938" width="1.7109375" style="1" customWidth="1"/>
    <col min="7939" max="7942" width="12" style="1" customWidth="1"/>
    <col min="7943" max="7943" width="11.85546875" style="1" customWidth="1"/>
    <col min="7944" max="7944" width="10.7109375" style="1" customWidth="1"/>
    <col min="7945" max="7945" width="10.5703125" style="1" customWidth="1"/>
    <col min="7946" max="7946" width="1.140625" style="1" customWidth="1"/>
    <col min="7947" max="7947" width="11.28515625" style="1" customWidth="1"/>
    <col min="7948" max="7948" width="12.7109375" style="1" customWidth="1"/>
    <col min="7949" max="7949" width="11.5703125" style="1" customWidth="1"/>
    <col min="7950" max="7950" width="12.42578125" style="1" customWidth="1"/>
    <col min="7951" max="7951" width="1.5703125" style="1" customWidth="1"/>
    <col min="7952" max="7952" width="11.42578125" style="1" customWidth="1"/>
    <col min="7953" max="7953" width="12.140625" style="1" customWidth="1"/>
    <col min="7954" max="7954" width="1.7109375" style="1" customWidth="1"/>
    <col min="7955" max="7955" width="13.5703125" style="1" customWidth="1"/>
    <col min="7956" max="8192" width="9.140625" style="1"/>
    <col min="8193" max="8193" width="9.28515625" style="1" customWidth="1"/>
    <col min="8194" max="8194" width="1.7109375" style="1" customWidth="1"/>
    <col min="8195" max="8198" width="12" style="1" customWidth="1"/>
    <col min="8199" max="8199" width="11.85546875" style="1" customWidth="1"/>
    <col min="8200" max="8200" width="10.7109375" style="1" customWidth="1"/>
    <col min="8201" max="8201" width="10.5703125" style="1" customWidth="1"/>
    <col min="8202" max="8202" width="1.140625" style="1" customWidth="1"/>
    <col min="8203" max="8203" width="11.28515625" style="1" customWidth="1"/>
    <col min="8204" max="8204" width="12.7109375" style="1" customWidth="1"/>
    <col min="8205" max="8205" width="11.5703125" style="1" customWidth="1"/>
    <col min="8206" max="8206" width="12.42578125" style="1" customWidth="1"/>
    <col min="8207" max="8207" width="1.5703125" style="1" customWidth="1"/>
    <col min="8208" max="8208" width="11.42578125" style="1" customWidth="1"/>
    <col min="8209" max="8209" width="12.140625" style="1" customWidth="1"/>
    <col min="8210" max="8210" width="1.7109375" style="1" customWidth="1"/>
    <col min="8211" max="8211" width="13.5703125" style="1" customWidth="1"/>
    <col min="8212" max="8448" width="9.140625" style="1"/>
    <col min="8449" max="8449" width="9.28515625" style="1" customWidth="1"/>
    <col min="8450" max="8450" width="1.7109375" style="1" customWidth="1"/>
    <col min="8451" max="8454" width="12" style="1" customWidth="1"/>
    <col min="8455" max="8455" width="11.85546875" style="1" customWidth="1"/>
    <col min="8456" max="8456" width="10.7109375" style="1" customWidth="1"/>
    <col min="8457" max="8457" width="10.5703125" style="1" customWidth="1"/>
    <col min="8458" max="8458" width="1.140625" style="1" customWidth="1"/>
    <col min="8459" max="8459" width="11.28515625" style="1" customWidth="1"/>
    <col min="8460" max="8460" width="12.7109375" style="1" customWidth="1"/>
    <col min="8461" max="8461" width="11.5703125" style="1" customWidth="1"/>
    <col min="8462" max="8462" width="12.42578125" style="1" customWidth="1"/>
    <col min="8463" max="8463" width="1.5703125" style="1" customWidth="1"/>
    <col min="8464" max="8464" width="11.42578125" style="1" customWidth="1"/>
    <col min="8465" max="8465" width="12.140625" style="1" customWidth="1"/>
    <col min="8466" max="8466" width="1.7109375" style="1" customWidth="1"/>
    <col min="8467" max="8467" width="13.5703125" style="1" customWidth="1"/>
    <col min="8468" max="8704" width="9.140625" style="1"/>
    <col min="8705" max="8705" width="9.28515625" style="1" customWidth="1"/>
    <col min="8706" max="8706" width="1.7109375" style="1" customWidth="1"/>
    <col min="8707" max="8710" width="12" style="1" customWidth="1"/>
    <col min="8711" max="8711" width="11.85546875" style="1" customWidth="1"/>
    <col min="8712" max="8712" width="10.7109375" style="1" customWidth="1"/>
    <col min="8713" max="8713" width="10.5703125" style="1" customWidth="1"/>
    <col min="8714" max="8714" width="1.140625" style="1" customWidth="1"/>
    <col min="8715" max="8715" width="11.28515625" style="1" customWidth="1"/>
    <col min="8716" max="8716" width="12.7109375" style="1" customWidth="1"/>
    <col min="8717" max="8717" width="11.5703125" style="1" customWidth="1"/>
    <col min="8718" max="8718" width="12.42578125" style="1" customWidth="1"/>
    <col min="8719" max="8719" width="1.5703125" style="1" customWidth="1"/>
    <col min="8720" max="8720" width="11.42578125" style="1" customWidth="1"/>
    <col min="8721" max="8721" width="12.140625" style="1" customWidth="1"/>
    <col min="8722" max="8722" width="1.7109375" style="1" customWidth="1"/>
    <col min="8723" max="8723" width="13.5703125" style="1" customWidth="1"/>
    <col min="8724" max="8960" width="9.140625" style="1"/>
    <col min="8961" max="8961" width="9.28515625" style="1" customWidth="1"/>
    <col min="8962" max="8962" width="1.7109375" style="1" customWidth="1"/>
    <col min="8963" max="8966" width="12" style="1" customWidth="1"/>
    <col min="8967" max="8967" width="11.85546875" style="1" customWidth="1"/>
    <col min="8968" max="8968" width="10.7109375" style="1" customWidth="1"/>
    <col min="8969" max="8969" width="10.5703125" style="1" customWidth="1"/>
    <col min="8970" max="8970" width="1.140625" style="1" customWidth="1"/>
    <col min="8971" max="8971" width="11.28515625" style="1" customWidth="1"/>
    <col min="8972" max="8972" width="12.7109375" style="1" customWidth="1"/>
    <col min="8973" max="8973" width="11.5703125" style="1" customWidth="1"/>
    <col min="8974" max="8974" width="12.42578125" style="1" customWidth="1"/>
    <col min="8975" max="8975" width="1.5703125" style="1" customWidth="1"/>
    <col min="8976" max="8976" width="11.42578125" style="1" customWidth="1"/>
    <col min="8977" max="8977" width="12.140625" style="1" customWidth="1"/>
    <col min="8978" max="8978" width="1.7109375" style="1" customWidth="1"/>
    <col min="8979" max="8979" width="13.5703125" style="1" customWidth="1"/>
    <col min="8980" max="9216" width="9.140625" style="1"/>
    <col min="9217" max="9217" width="9.28515625" style="1" customWidth="1"/>
    <col min="9218" max="9218" width="1.7109375" style="1" customWidth="1"/>
    <col min="9219" max="9222" width="12" style="1" customWidth="1"/>
    <col min="9223" max="9223" width="11.85546875" style="1" customWidth="1"/>
    <col min="9224" max="9224" width="10.7109375" style="1" customWidth="1"/>
    <col min="9225" max="9225" width="10.5703125" style="1" customWidth="1"/>
    <col min="9226" max="9226" width="1.140625" style="1" customWidth="1"/>
    <col min="9227" max="9227" width="11.28515625" style="1" customWidth="1"/>
    <col min="9228" max="9228" width="12.7109375" style="1" customWidth="1"/>
    <col min="9229" max="9229" width="11.5703125" style="1" customWidth="1"/>
    <col min="9230" max="9230" width="12.42578125" style="1" customWidth="1"/>
    <col min="9231" max="9231" width="1.5703125" style="1" customWidth="1"/>
    <col min="9232" max="9232" width="11.42578125" style="1" customWidth="1"/>
    <col min="9233" max="9233" width="12.140625" style="1" customWidth="1"/>
    <col min="9234" max="9234" width="1.7109375" style="1" customWidth="1"/>
    <col min="9235" max="9235" width="13.5703125" style="1" customWidth="1"/>
    <col min="9236" max="9472" width="9.140625" style="1"/>
    <col min="9473" max="9473" width="9.28515625" style="1" customWidth="1"/>
    <col min="9474" max="9474" width="1.7109375" style="1" customWidth="1"/>
    <col min="9475" max="9478" width="12" style="1" customWidth="1"/>
    <col min="9479" max="9479" width="11.85546875" style="1" customWidth="1"/>
    <col min="9480" max="9480" width="10.7109375" style="1" customWidth="1"/>
    <col min="9481" max="9481" width="10.5703125" style="1" customWidth="1"/>
    <col min="9482" max="9482" width="1.140625" style="1" customWidth="1"/>
    <col min="9483" max="9483" width="11.28515625" style="1" customWidth="1"/>
    <col min="9484" max="9484" width="12.7109375" style="1" customWidth="1"/>
    <col min="9485" max="9485" width="11.5703125" style="1" customWidth="1"/>
    <col min="9486" max="9486" width="12.42578125" style="1" customWidth="1"/>
    <col min="9487" max="9487" width="1.5703125" style="1" customWidth="1"/>
    <col min="9488" max="9488" width="11.42578125" style="1" customWidth="1"/>
    <col min="9489" max="9489" width="12.140625" style="1" customWidth="1"/>
    <col min="9490" max="9490" width="1.7109375" style="1" customWidth="1"/>
    <col min="9491" max="9491" width="13.5703125" style="1" customWidth="1"/>
    <col min="9492" max="9728" width="9.140625" style="1"/>
    <col min="9729" max="9729" width="9.28515625" style="1" customWidth="1"/>
    <col min="9730" max="9730" width="1.7109375" style="1" customWidth="1"/>
    <col min="9731" max="9734" width="12" style="1" customWidth="1"/>
    <col min="9735" max="9735" width="11.85546875" style="1" customWidth="1"/>
    <col min="9736" max="9736" width="10.7109375" style="1" customWidth="1"/>
    <col min="9737" max="9737" width="10.5703125" style="1" customWidth="1"/>
    <col min="9738" max="9738" width="1.140625" style="1" customWidth="1"/>
    <col min="9739" max="9739" width="11.28515625" style="1" customWidth="1"/>
    <col min="9740" max="9740" width="12.7109375" style="1" customWidth="1"/>
    <col min="9741" max="9741" width="11.5703125" style="1" customWidth="1"/>
    <col min="9742" max="9742" width="12.42578125" style="1" customWidth="1"/>
    <col min="9743" max="9743" width="1.5703125" style="1" customWidth="1"/>
    <col min="9744" max="9744" width="11.42578125" style="1" customWidth="1"/>
    <col min="9745" max="9745" width="12.140625" style="1" customWidth="1"/>
    <col min="9746" max="9746" width="1.7109375" style="1" customWidth="1"/>
    <col min="9747" max="9747" width="13.5703125" style="1" customWidth="1"/>
    <col min="9748" max="9984" width="9.140625" style="1"/>
    <col min="9985" max="9985" width="9.28515625" style="1" customWidth="1"/>
    <col min="9986" max="9986" width="1.7109375" style="1" customWidth="1"/>
    <col min="9987" max="9990" width="12" style="1" customWidth="1"/>
    <col min="9991" max="9991" width="11.85546875" style="1" customWidth="1"/>
    <col min="9992" max="9992" width="10.7109375" style="1" customWidth="1"/>
    <col min="9993" max="9993" width="10.5703125" style="1" customWidth="1"/>
    <col min="9994" max="9994" width="1.140625" style="1" customWidth="1"/>
    <col min="9995" max="9995" width="11.28515625" style="1" customWidth="1"/>
    <col min="9996" max="9996" width="12.7109375" style="1" customWidth="1"/>
    <col min="9997" max="9997" width="11.5703125" style="1" customWidth="1"/>
    <col min="9998" max="9998" width="12.42578125" style="1" customWidth="1"/>
    <col min="9999" max="9999" width="1.5703125" style="1" customWidth="1"/>
    <col min="10000" max="10000" width="11.42578125" style="1" customWidth="1"/>
    <col min="10001" max="10001" width="12.140625" style="1" customWidth="1"/>
    <col min="10002" max="10002" width="1.7109375" style="1" customWidth="1"/>
    <col min="10003" max="10003" width="13.5703125" style="1" customWidth="1"/>
    <col min="10004" max="10240" width="9.140625" style="1"/>
    <col min="10241" max="10241" width="9.28515625" style="1" customWidth="1"/>
    <col min="10242" max="10242" width="1.7109375" style="1" customWidth="1"/>
    <col min="10243" max="10246" width="12" style="1" customWidth="1"/>
    <col min="10247" max="10247" width="11.85546875" style="1" customWidth="1"/>
    <col min="10248" max="10248" width="10.7109375" style="1" customWidth="1"/>
    <col min="10249" max="10249" width="10.5703125" style="1" customWidth="1"/>
    <col min="10250" max="10250" width="1.140625" style="1" customWidth="1"/>
    <col min="10251" max="10251" width="11.28515625" style="1" customWidth="1"/>
    <col min="10252" max="10252" width="12.7109375" style="1" customWidth="1"/>
    <col min="10253" max="10253" width="11.5703125" style="1" customWidth="1"/>
    <col min="10254" max="10254" width="12.42578125" style="1" customWidth="1"/>
    <col min="10255" max="10255" width="1.5703125" style="1" customWidth="1"/>
    <col min="10256" max="10256" width="11.42578125" style="1" customWidth="1"/>
    <col min="10257" max="10257" width="12.140625" style="1" customWidth="1"/>
    <col min="10258" max="10258" width="1.7109375" style="1" customWidth="1"/>
    <col min="10259" max="10259" width="13.5703125" style="1" customWidth="1"/>
    <col min="10260" max="10496" width="9.140625" style="1"/>
    <col min="10497" max="10497" width="9.28515625" style="1" customWidth="1"/>
    <col min="10498" max="10498" width="1.7109375" style="1" customWidth="1"/>
    <col min="10499" max="10502" width="12" style="1" customWidth="1"/>
    <col min="10503" max="10503" width="11.85546875" style="1" customWidth="1"/>
    <col min="10504" max="10504" width="10.7109375" style="1" customWidth="1"/>
    <col min="10505" max="10505" width="10.5703125" style="1" customWidth="1"/>
    <col min="10506" max="10506" width="1.140625" style="1" customWidth="1"/>
    <col min="10507" max="10507" width="11.28515625" style="1" customWidth="1"/>
    <col min="10508" max="10508" width="12.7109375" style="1" customWidth="1"/>
    <col min="10509" max="10509" width="11.5703125" style="1" customWidth="1"/>
    <col min="10510" max="10510" width="12.42578125" style="1" customWidth="1"/>
    <col min="10511" max="10511" width="1.5703125" style="1" customWidth="1"/>
    <col min="10512" max="10512" width="11.42578125" style="1" customWidth="1"/>
    <col min="10513" max="10513" width="12.140625" style="1" customWidth="1"/>
    <col min="10514" max="10514" width="1.7109375" style="1" customWidth="1"/>
    <col min="10515" max="10515" width="13.5703125" style="1" customWidth="1"/>
    <col min="10516" max="10752" width="9.140625" style="1"/>
    <col min="10753" max="10753" width="9.28515625" style="1" customWidth="1"/>
    <col min="10754" max="10754" width="1.7109375" style="1" customWidth="1"/>
    <col min="10755" max="10758" width="12" style="1" customWidth="1"/>
    <col min="10759" max="10759" width="11.85546875" style="1" customWidth="1"/>
    <col min="10760" max="10760" width="10.7109375" style="1" customWidth="1"/>
    <col min="10761" max="10761" width="10.5703125" style="1" customWidth="1"/>
    <col min="10762" max="10762" width="1.140625" style="1" customWidth="1"/>
    <col min="10763" max="10763" width="11.28515625" style="1" customWidth="1"/>
    <col min="10764" max="10764" width="12.7109375" style="1" customWidth="1"/>
    <col min="10765" max="10765" width="11.5703125" style="1" customWidth="1"/>
    <col min="10766" max="10766" width="12.42578125" style="1" customWidth="1"/>
    <col min="10767" max="10767" width="1.5703125" style="1" customWidth="1"/>
    <col min="10768" max="10768" width="11.42578125" style="1" customWidth="1"/>
    <col min="10769" max="10769" width="12.140625" style="1" customWidth="1"/>
    <col min="10770" max="10770" width="1.7109375" style="1" customWidth="1"/>
    <col min="10771" max="10771" width="13.5703125" style="1" customWidth="1"/>
    <col min="10772" max="11008" width="9.140625" style="1"/>
    <col min="11009" max="11009" width="9.28515625" style="1" customWidth="1"/>
    <col min="11010" max="11010" width="1.7109375" style="1" customWidth="1"/>
    <col min="11011" max="11014" width="12" style="1" customWidth="1"/>
    <col min="11015" max="11015" width="11.85546875" style="1" customWidth="1"/>
    <col min="11016" max="11016" width="10.7109375" style="1" customWidth="1"/>
    <col min="11017" max="11017" width="10.5703125" style="1" customWidth="1"/>
    <col min="11018" max="11018" width="1.140625" style="1" customWidth="1"/>
    <col min="11019" max="11019" width="11.28515625" style="1" customWidth="1"/>
    <col min="11020" max="11020" width="12.7109375" style="1" customWidth="1"/>
    <col min="11021" max="11021" width="11.5703125" style="1" customWidth="1"/>
    <col min="11022" max="11022" width="12.42578125" style="1" customWidth="1"/>
    <col min="11023" max="11023" width="1.5703125" style="1" customWidth="1"/>
    <col min="11024" max="11024" width="11.42578125" style="1" customWidth="1"/>
    <col min="11025" max="11025" width="12.140625" style="1" customWidth="1"/>
    <col min="11026" max="11026" width="1.7109375" style="1" customWidth="1"/>
    <col min="11027" max="11027" width="13.5703125" style="1" customWidth="1"/>
    <col min="11028" max="11264" width="9.140625" style="1"/>
    <col min="11265" max="11265" width="9.28515625" style="1" customWidth="1"/>
    <col min="11266" max="11266" width="1.7109375" style="1" customWidth="1"/>
    <col min="11267" max="11270" width="12" style="1" customWidth="1"/>
    <col min="11271" max="11271" width="11.85546875" style="1" customWidth="1"/>
    <col min="11272" max="11272" width="10.7109375" style="1" customWidth="1"/>
    <col min="11273" max="11273" width="10.5703125" style="1" customWidth="1"/>
    <col min="11274" max="11274" width="1.140625" style="1" customWidth="1"/>
    <col min="11275" max="11275" width="11.28515625" style="1" customWidth="1"/>
    <col min="11276" max="11276" width="12.7109375" style="1" customWidth="1"/>
    <col min="11277" max="11277" width="11.5703125" style="1" customWidth="1"/>
    <col min="11278" max="11278" width="12.42578125" style="1" customWidth="1"/>
    <col min="11279" max="11279" width="1.5703125" style="1" customWidth="1"/>
    <col min="11280" max="11280" width="11.42578125" style="1" customWidth="1"/>
    <col min="11281" max="11281" width="12.140625" style="1" customWidth="1"/>
    <col min="11282" max="11282" width="1.7109375" style="1" customWidth="1"/>
    <col min="11283" max="11283" width="13.5703125" style="1" customWidth="1"/>
    <col min="11284" max="11520" width="9.140625" style="1"/>
    <col min="11521" max="11521" width="9.28515625" style="1" customWidth="1"/>
    <col min="11522" max="11522" width="1.7109375" style="1" customWidth="1"/>
    <col min="11523" max="11526" width="12" style="1" customWidth="1"/>
    <col min="11527" max="11527" width="11.85546875" style="1" customWidth="1"/>
    <col min="11528" max="11528" width="10.7109375" style="1" customWidth="1"/>
    <col min="11529" max="11529" width="10.5703125" style="1" customWidth="1"/>
    <col min="11530" max="11530" width="1.140625" style="1" customWidth="1"/>
    <col min="11531" max="11531" width="11.28515625" style="1" customWidth="1"/>
    <col min="11532" max="11532" width="12.7109375" style="1" customWidth="1"/>
    <col min="11533" max="11533" width="11.5703125" style="1" customWidth="1"/>
    <col min="11534" max="11534" width="12.42578125" style="1" customWidth="1"/>
    <col min="11535" max="11535" width="1.5703125" style="1" customWidth="1"/>
    <col min="11536" max="11536" width="11.42578125" style="1" customWidth="1"/>
    <col min="11537" max="11537" width="12.140625" style="1" customWidth="1"/>
    <col min="11538" max="11538" width="1.7109375" style="1" customWidth="1"/>
    <col min="11539" max="11539" width="13.5703125" style="1" customWidth="1"/>
    <col min="11540" max="11776" width="9.140625" style="1"/>
    <col min="11777" max="11777" width="9.28515625" style="1" customWidth="1"/>
    <col min="11778" max="11778" width="1.7109375" style="1" customWidth="1"/>
    <col min="11779" max="11782" width="12" style="1" customWidth="1"/>
    <col min="11783" max="11783" width="11.85546875" style="1" customWidth="1"/>
    <col min="11784" max="11784" width="10.7109375" style="1" customWidth="1"/>
    <col min="11785" max="11785" width="10.5703125" style="1" customWidth="1"/>
    <col min="11786" max="11786" width="1.140625" style="1" customWidth="1"/>
    <col min="11787" max="11787" width="11.28515625" style="1" customWidth="1"/>
    <col min="11788" max="11788" width="12.7109375" style="1" customWidth="1"/>
    <col min="11789" max="11789" width="11.5703125" style="1" customWidth="1"/>
    <col min="11790" max="11790" width="12.42578125" style="1" customWidth="1"/>
    <col min="11791" max="11791" width="1.5703125" style="1" customWidth="1"/>
    <col min="11792" max="11792" width="11.42578125" style="1" customWidth="1"/>
    <col min="11793" max="11793" width="12.140625" style="1" customWidth="1"/>
    <col min="11794" max="11794" width="1.7109375" style="1" customWidth="1"/>
    <col min="11795" max="11795" width="13.5703125" style="1" customWidth="1"/>
    <col min="11796" max="12032" width="9.140625" style="1"/>
    <col min="12033" max="12033" width="9.28515625" style="1" customWidth="1"/>
    <col min="12034" max="12034" width="1.7109375" style="1" customWidth="1"/>
    <col min="12035" max="12038" width="12" style="1" customWidth="1"/>
    <col min="12039" max="12039" width="11.85546875" style="1" customWidth="1"/>
    <col min="12040" max="12040" width="10.7109375" style="1" customWidth="1"/>
    <col min="12041" max="12041" width="10.5703125" style="1" customWidth="1"/>
    <col min="12042" max="12042" width="1.140625" style="1" customWidth="1"/>
    <col min="12043" max="12043" width="11.28515625" style="1" customWidth="1"/>
    <col min="12044" max="12044" width="12.7109375" style="1" customWidth="1"/>
    <col min="12045" max="12045" width="11.5703125" style="1" customWidth="1"/>
    <col min="12046" max="12046" width="12.42578125" style="1" customWidth="1"/>
    <col min="12047" max="12047" width="1.5703125" style="1" customWidth="1"/>
    <col min="12048" max="12048" width="11.42578125" style="1" customWidth="1"/>
    <col min="12049" max="12049" width="12.140625" style="1" customWidth="1"/>
    <col min="12050" max="12050" width="1.7109375" style="1" customWidth="1"/>
    <col min="12051" max="12051" width="13.5703125" style="1" customWidth="1"/>
    <col min="12052" max="12288" width="9.140625" style="1"/>
    <col min="12289" max="12289" width="9.28515625" style="1" customWidth="1"/>
    <col min="12290" max="12290" width="1.7109375" style="1" customWidth="1"/>
    <col min="12291" max="12294" width="12" style="1" customWidth="1"/>
    <col min="12295" max="12295" width="11.85546875" style="1" customWidth="1"/>
    <col min="12296" max="12296" width="10.7109375" style="1" customWidth="1"/>
    <col min="12297" max="12297" width="10.5703125" style="1" customWidth="1"/>
    <col min="12298" max="12298" width="1.140625" style="1" customWidth="1"/>
    <col min="12299" max="12299" width="11.28515625" style="1" customWidth="1"/>
    <col min="12300" max="12300" width="12.7109375" style="1" customWidth="1"/>
    <col min="12301" max="12301" width="11.5703125" style="1" customWidth="1"/>
    <col min="12302" max="12302" width="12.42578125" style="1" customWidth="1"/>
    <col min="12303" max="12303" width="1.5703125" style="1" customWidth="1"/>
    <col min="12304" max="12304" width="11.42578125" style="1" customWidth="1"/>
    <col min="12305" max="12305" width="12.140625" style="1" customWidth="1"/>
    <col min="12306" max="12306" width="1.7109375" style="1" customWidth="1"/>
    <col min="12307" max="12307" width="13.5703125" style="1" customWidth="1"/>
    <col min="12308" max="12544" width="9.140625" style="1"/>
    <col min="12545" max="12545" width="9.28515625" style="1" customWidth="1"/>
    <col min="12546" max="12546" width="1.7109375" style="1" customWidth="1"/>
    <col min="12547" max="12550" width="12" style="1" customWidth="1"/>
    <col min="12551" max="12551" width="11.85546875" style="1" customWidth="1"/>
    <col min="12552" max="12552" width="10.7109375" style="1" customWidth="1"/>
    <col min="12553" max="12553" width="10.5703125" style="1" customWidth="1"/>
    <col min="12554" max="12554" width="1.140625" style="1" customWidth="1"/>
    <col min="12555" max="12555" width="11.28515625" style="1" customWidth="1"/>
    <col min="12556" max="12556" width="12.7109375" style="1" customWidth="1"/>
    <col min="12557" max="12557" width="11.5703125" style="1" customWidth="1"/>
    <col min="12558" max="12558" width="12.42578125" style="1" customWidth="1"/>
    <col min="12559" max="12559" width="1.5703125" style="1" customWidth="1"/>
    <col min="12560" max="12560" width="11.42578125" style="1" customWidth="1"/>
    <col min="12561" max="12561" width="12.140625" style="1" customWidth="1"/>
    <col min="12562" max="12562" width="1.7109375" style="1" customWidth="1"/>
    <col min="12563" max="12563" width="13.5703125" style="1" customWidth="1"/>
    <col min="12564" max="12800" width="9.140625" style="1"/>
    <col min="12801" max="12801" width="9.28515625" style="1" customWidth="1"/>
    <col min="12802" max="12802" width="1.7109375" style="1" customWidth="1"/>
    <col min="12803" max="12806" width="12" style="1" customWidth="1"/>
    <col min="12807" max="12807" width="11.85546875" style="1" customWidth="1"/>
    <col min="12808" max="12808" width="10.7109375" style="1" customWidth="1"/>
    <col min="12809" max="12809" width="10.5703125" style="1" customWidth="1"/>
    <col min="12810" max="12810" width="1.140625" style="1" customWidth="1"/>
    <col min="12811" max="12811" width="11.28515625" style="1" customWidth="1"/>
    <col min="12812" max="12812" width="12.7109375" style="1" customWidth="1"/>
    <col min="12813" max="12813" width="11.5703125" style="1" customWidth="1"/>
    <col min="12814" max="12814" width="12.42578125" style="1" customWidth="1"/>
    <col min="12815" max="12815" width="1.5703125" style="1" customWidth="1"/>
    <col min="12816" max="12816" width="11.42578125" style="1" customWidth="1"/>
    <col min="12817" max="12817" width="12.140625" style="1" customWidth="1"/>
    <col min="12818" max="12818" width="1.7109375" style="1" customWidth="1"/>
    <col min="12819" max="12819" width="13.5703125" style="1" customWidth="1"/>
    <col min="12820" max="13056" width="9.140625" style="1"/>
    <col min="13057" max="13057" width="9.28515625" style="1" customWidth="1"/>
    <col min="13058" max="13058" width="1.7109375" style="1" customWidth="1"/>
    <col min="13059" max="13062" width="12" style="1" customWidth="1"/>
    <col min="13063" max="13063" width="11.85546875" style="1" customWidth="1"/>
    <col min="13064" max="13064" width="10.7109375" style="1" customWidth="1"/>
    <col min="13065" max="13065" width="10.5703125" style="1" customWidth="1"/>
    <col min="13066" max="13066" width="1.140625" style="1" customWidth="1"/>
    <col min="13067" max="13067" width="11.28515625" style="1" customWidth="1"/>
    <col min="13068" max="13068" width="12.7109375" style="1" customWidth="1"/>
    <col min="13069" max="13069" width="11.5703125" style="1" customWidth="1"/>
    <col min="13070" max="13070" width="12.42578125" style="1" customWidth="1"/>
    <col min="13071" max="13071" width="1.5703125" style="1" customWidth="1"/>
    <col min="13072" max="13072" width="11.42578125" style="1" customWidth="1"/>
    <col min="13073" max="13073" width="12.140625" style="1" customWidth="1"/>
    <col min="13074" max="13074" width="1.7109375" style="1" customWidth="1"/>
    <col min="13075" max="13075" width="13.5703125" style="1" customWidth="1"/>
    <col min="13076" max="13312" width="9.140625" style="1"/>
    <col min="13313" max="13313" width="9.28515625" style="1" customWidth="1"/>
    <col min="13314" max="13314" width="1.7109375" style="1" customWidth="1"/>
    <col min="13315" max="13318" width="12" style="1" customWidth="1"/>
    <col min="13319" max="13319" width="11.85546875" style="1" customWidth="1"/>
    <col min="13320" max="13320" width="10.7109375" style="1" customWidth="1"/>
    <col min="13321" max="13321" width="10.5703125" style="1" customWidth="1"/>
    <col min="13322" max="13322" width="1.140625" style="1" customWidth="1"/>
    <col min="13323" max="13323" width="11.28515625" style="1" customWidth="1"/>
    <col min="13324" max="13324" width="12.7109375" style="1" customWidth="1"/>
    <col min="13325" max="13325" width="11.5703125" style="1" customWidth="1"/>
    <col min="13326" max="13326" width="12.42578125" style="1" customWidth="1"/>
    <col min="13327" max="13327" width="1.5703125" style="1" customWidth="1"/>
    <col min="13328" max="13328" width="11.42578125" style="1" customWidth="1"/>
    <col min="13329" max="13329" width="12.140625" style="1" customWidth="1"/>
    <col min="13330" max="13330" width="1.7109375" style="1" customWidth="1"/>
    <col min="13331" max="13331" width="13.5703125" style="1" customWidth="1"/>
    <col min="13332" max="13568" width="9.140625" style="1"/>
    <col min="13569" max="13569" width="9.28515625" style="1" customWidth="1"/>
    <col min="13570" max="13570" width="1.7109375" style="1" customWidth="1"/>
    <col min="13571" max="13574" width="12" style="1" customWidth="1"/>
    <col min="13575" max="13575" width="11.85546875" style="1" customWidth="1"/>
    <col min="13576" max="13576" width="10.7109375" style="1" customWidth="1"/>
    <col min="13577" max="13577" width="10.5703125" style="1" customWidth="1"/>
    <col min="13578" max="13578" width="1.140625" style="1" customWidth="1"/>
    <col min="13579" max="13579" width="11.28515625" style="1" customWidth="1"/>
    <col min="13580" max="13580" width="12.7109375" style="1" customWidth="1"/>
    <col min="13581" max="13581" width="11.5703125" style="1" customWidth="1"/>
    <col min="13582" max="13582" width="12.42578125" style="1" customWidth="1"/>
    <col min="13583" max="13583" width="1.5703125" style="1" customWidth="1"/>
    <col min="13584" max="13584" width="11.42578125" style="1" customWidth="1"/>
    <col min="13585" max="13585" width="12.140625" style="1" customWidth="1"/>
    <col min="13586" max="13586" width="1.7109375" style="1" customWidth="1"/>
    <col min="13587" max="13587" width="13.5703125" style="1" customWidth="1"/>
    <col min="13588" max="13824" width="9.140625" style="1"/>
    <col min="13825" max="13825" width="9.28515625" style="1" customWidth="1"/>
    <col min="13826" max="13826" width="1.7109375" style="1" customWidth="1"/>
    <col min="13827" max="13830" width="12" style="1" customWidth="1"/>
    <col min="13831" max="13831" width="11.85546875" style="1" customWidth="1"/>
    <col min="13832" max="13832" width="10.7109375" style="1" customWidth="1"/>
    <col min="13833" max="13833" width="10.5703125" style="1" customWidth="1"/>
    <col min="13834" max="13834" width="1.140625" style="1" customWidth="1"/>
    <col min="13835" max="13835" width="11.28515625" style="1" customWidth="1"/>
    <col min="13836" max="13836" width="12.7109375" style="1" customWidth="1"/>
    <col min="13837" max="13837" width="11.5703125" style="1" customWidth="1"/>
    <col min="13838" max="13838" width="12.42578125" style="1" customWidth="1"/>
    <col min="13839" max="13839" width="1.5703125" style="1" customWidth="1"/>
    <col min="13840" max="13840" width="11.42578125" style="1" customWidth="1"/>
    <col min="13841" max="13841" width="12.140625" style="1" customWidth="1"/>
    <col min="13842" max="13842" width="1.7109375" style="1" customWidth="1"/>
    <col min="13843" max="13843" width="13.5703125" style="1" customWidth="1"/>
    <col min="13844" max="14080" width="9.140625" style="1"/>
    <col min="14081" max="14081" width="9.28515625" style="1" customWidth="1"/>
    <col min="14082" max="14082" width="1.7109375" style="1" customWidth="1"/>
    <col min="14083" max="14086" width="12" style="1" customWidth="1"/>
    <col min="14087" max="14087" width="11.85546875" style="1" customWidth="1"/>
    <col min="14088" max="14088" width="10.7109375" style="1" customWidth="1"/>
    <col min="14089" max="14089" width="10.5703125" style="1" customWidth="1"/>
    <col min="14090" max="14090" width="1.140625" style="1" customWidth="1"/>
    <col min="14091" max="14091" width="11.28515625" style="1" customWidth="1"/>
    <col min="14092" max="14092" width="12.7109375" style="1" customWidth="1"/>
    <col min="14093" max="14093" width="11.5703125" style="1" customWidth="1"/>
    <col min="14094" max="14094" width="12.42578125" style="1" customWidth="1"/>
    <col min="14095" max="14095" width="1.5703125" style="1" customWidth="1"/>
    <col min="14096" max="14096" width="11.42578125" style="1" customWidth="1"/>
    <col min="14097" max="14097" width="12.140625" style="1" customWidth="1"/>
    <col min="14098" max="14098" width="1.7109375" style="1" customWidth="1"/>
    <col min="14099" max="14099" width="13.5703125" style="1" customWidth="1"/>
    <col min="14100" max="14336" width="9.140625" style="1"/>
    <col min="14337" max="14337" width="9.28515625" style="1" customWidth="1"/>
    <col min="14338" max="14338" width="1.7109375" style="1" customWidth="1"/>
    <col min="14339" max="14342" width="12" style="1" customWidth="1"/>
    <col min="14343" max="14343" width="11.85546875" style="1" customWidth="1"/>
    <col min="14344" max="14344" width="10.7109375" style="1" customWidth="1"/>
    <col min="14345" max="14345" width="10.5703125" style="1" customWidth="1"/>
    <col min="14346" max="14346" width="1.140625" style="1" customWidth="1"/>
    <col min="14347" max="14347" width="11.28515625" style="1" customWidth="1"/>
    <col min="14348" max="14348" width="12.7109375" style="1" customWidth="1"/>
    <col min="14349" max="14349" width="11.5703125" style="1" customWidth="1"/>
    <col min="14350" max="14350" width="12.42578125" style="1" customWidth="1"/>
    <col min="14351" max="14351" width="1.5703125" style="1" customWidth="1"/>
    <col min="14352" max="14352" width="11.42578125" style="1" customWidth="1"/>
    <col min="14353" max="14353" width="12.140625" style="1" customWidth="1"/>
    <col min="14354" max="14354" width="1.7109375" style="1" customWidth="1"/>
    <col min="14355" max="14355" width="13.5703125" style="1" customWidth="1"/>
    <col min="14356" max="14592" width="9.140625" style="1"/>
    <col min="14593" max="14593" width="9.28515625" style="1" customWidth="1"/>
    <col min="14594" max="14594" width="1.7109375" style="1" customWidth="1"/>
    <col min="14595" max="14598" width="12" style="1" customWidth="1"/>
    <col min="14599" max="14599" width="11.85546875" style="1" customWidth="1"/>
    <col min="14600" max="14600" width="10.7109375" style="1" customWidth="1"/>
    <col min="14601" max="14601" width="10.5703125" style="1" customWidth="1"/>
    <col min="14602" max="14602" width="1.140625" style="1" customWidth="1"/>
    <col min="14603" max="14603" width="11.28515625" style="1" customWidth="1"/>
    <col min="14604" max="14604" width="12.7109375" style="1" customWidth="1"/>
    <col min="14605" max="14605" width="11.5703125" style="1" customWidth="1"/>
    <col min="14606" max="14606" width="12.42578125" style="1" customWidth="1"/>
    <col min="14607" max="14607" width="1.5703125" style="1" customWidth="1"/>
    <col min="14608" max="14608" width="11.42578125" style="1" customWidth="1"/>
    <col min="14609" max="14609" width="12.140625" style="1" customWidth="1"/>
    <col min="14610" max="14610" width="1.7109375" style="1" customWidth="1"/>
    <col min="14611" max="14611" width="13.5703125" style="1" customWidth="1"/>
    <col min="14612" max="14848" width="9.140625" style="1"/>
    <col min="14849" max="14849" width="9.28515625" style="1" customWidth="1"/>
    <col min="14850" max="14850" width="1.7109375" style="1" customWidth="1"/>
    <col min="14851" max="14854" width="12" style="1" customWidth="1"/>
    <col min="14855" max="14855" width="11.85546875" style="1" customWidth="1"/>
    <col min="14856" max="14856" width="10.7109375" style="1" customWidth="1"/>
    <col min="14857" max="14857" width="10.5703125" style="1" customWidth="1"/>
    <col min="14858" max="14858" width="1.140625" style="1" customWidth="1"/>
    <col min="14859" max="14859" width="11.28515625" style="1" customWidth="1"/>
    <col min="14860" max="14860" width="12.7109375" style="1" customWidth="1"/>
    <col min="14861" max="14861" width="11.5703125" style="1" customWidth="1"/>
    <col min="14862" max="14862" width="12.42578125" style="1" customWidth="1"/>
    <col min="14863" max="14863" width="1.5703125" style="1" customWidth="1"/>
    <col min="14864" max="14864" width="11.42578125" style="1" customWidth="1"/>
    <col min="14865" max="14865" width="12.140625" style="1" customWidth="1"/>
    <col min="14866" max="14866" width="1.7109375" style="1" customWidth="1"/>
    <col min="14867" max="14867" width="13.5703125" style="1" customWidth="1"/>
    <col min="14868" max="15104" width="9.140625" style="1"/>
    <col min="15105" max="15105" width="9.28515625" style="1" customWidth="1"/>
    <col min="15106" max="15106" width="1.7109375" style="1" customWidth="1"/>
    <col min="15107" max="15110" width="12" style="1" customWidth="1"/>
    <col min="15111" max="15111" width="11.85546875" style="1" customWidth="1"/>
    <col min="15112" max="15112" width="10.7109375" style="1" customWidth="1"/>
    <col min="15113" max="15113" width="10.5703125" style="1" customWidth="1"/>
    <col min="15114" max="15114" width="1.140625" style="1" customWidth="1"/>
    <col min="15115" max="15115" width="11.28515625" style="1" customWidth="1"/>
    <col min="15116" max="15116" width="12.7109375" style="1" customWidth="1"/>
    <col min="15117" max="15117" width="11.5703125" style="1" customWidth="1"/>
    <col min="15118" max="15118" width="12.42578125" style="1" customWidth="1"/>
    <col min="15119" max="15119" width="1.5703125" style="1" customWidth="1"/>
    <col min="15120" max="15120" width="11.42578125" style="1" customWidth="1"/>
    <col min="15121" max="15121" width="12.140625" style="1" customWidth="1"/>
    <col min="15122" max="15122" width="1.7109375" style="1" customWidth="1"/>
    <col min="15123" max="15123" width="13.5703125" style="1" customWidth="1"/>
    <col min="15124" max="15360" width="9.140625" style="1"/>
    <col min="15361" max="15361" width="9.28515625" style="1" customWidth="1"/>
    <col min="15362" max="15362" width="1.7109375" style="1" customWidth="1"/>
    <col min="15363" max="15366" width="12" style="1" customWidth="1"/>
    <col min="15367" max="15367" width="11.85546875" style="1" customWidth="1"/>
    <col min="15368" max="15368" width="10.7109375" style="1" customWidth="1"/>
    <col min="15369" max="15369" width="10.5703125" style="1" customWidth="1"/>
    <col min="15370" max="15370" width="1.140625" style="1" customWidth="1"/>
    <col min="15371" max="15371" width="11.28515625" style="1" customWidth="1"/>
    <col min="15372" max="15372" width="12.7109375" style="1" customWidth="1"/>
    <col min="15373" max="15373" width="11.5703125" style="1" customWidth="1"/>
    <col min="15374" max="15374" width="12.42578125" style="1" customWidth="1"/>
    <col min="15375" max="15375" width="1.5703125" style="1" customWidth="1"/>
    <col min="15376" max="15376" width="11.42578125" style="1" customWidth="1"/>
    <col min="15377" max="15377" width="12.140625" style="1" customWidth="1"/>
    <col min="15378" max="15378" width="1.7109375" style="1" customWidth="1"/>
    <col min="15379" max="15379" width="13.5703125" style="1" customWidth="1"/>
    <col min="15380" max="15616" width="9.140625" style="1"/>
    <col min="15617" max="15617" width="9.28515625" style="1" customWidth="1"/>
    <col min="15618" max="15618" width="1.7109375" style="1" customWidth="1"/>
    <col min="15619" max="15622" width="12" style="1" customWidth="1"/>
    <col min="15623" max="15623" width="11.85546875" style="1" customWidth="1"/>
    <col min="15624" max="15624" width="10.7109375" style="1" customWidth="1"/>
    <col min="15625" max="15625" width="10.5703125" style="1" customWidth="1"/>
    <col min="15626" max="15626" width="1.140625" style="1" customWidth="1"/>
    <col min="15627" max="15627" width="11.28515625" style="1" customWidth="1"/>
    <col min="15628" max="15628" width="12.7109375" style="1" customWidth="1"/>
    <col min="15629" max="15629" width="11.5703125" style="1" customWidth="1"/>
    <col min="15630" max="15630" width="12.42578125" style="1" customWidth="1"/>
    <col min="15631" max="15631" width="1.5703125" style="1" customWidth="1"/>
    <col min="15632" max="15632" width="11.42578125" style="1" customWidth="1"/>
    <col min="15633" max="15633" width="12.140625" style="1" customWidth="1"/>
    <col min="15634" max="15634" width="1.7109375" style="1" customWidth="1"/>
    <col min="15635" max="15635" width="13.5703125" style="1" customWidth="1"/>
    <col min="15636" max="15872" width="9.140625" style="1"/>
    <col min="15873" max="15873" width="9.28515625" style="1" customWidth="1"/>
    <col min="15874" max="15874" width="1.7109375" style="1" customWidth="1"/>
    <col min="15875" max="15878" width="12" style="1" customWidth="1"/>
    <col min="15879" max="15879" width="11.85546875" style="1" customWidth="1"/>
    <col min="15880" max="15880" width="10.7109375" style="1" customWidth="1"/>
    <col min="15881" max="15881" width="10.5703125" style="1" customWidth="1"/>
    <col min="15882" max="15882" width="1.140625" style="1" customWidth="1"/>
    <col min="15883" max="15883" width="11.28515625" style="1" customWidth="1"/>
    <col min="15884" max="15884" width="12.7109375" style="1" customWidth="1"/>
    <col min="15885" max="15885" width="11.5703125" style="1" customWidth="1"/>
    <col min="15886" max="15886" width="12.42578125" style="1" customWidth="1"/>
    <col min="15887" max="15887" width="1.5703125" style="1" customWidth="1"/>
    <col min="15888" max="15888" width="11.42578125" style="1" customWidth="1"/>
    <col min="15889" max="15889" width="12.140625" style="1" customWidth="1"/>
    <col min="15890" max="15890" width="1.7109375" style="1" customWidth="1"/>
    <col min="15891" max="15891" width="13.5703125" style="1" customWidth="1"/>
    <col min="15892" max="16128" width="9.140625" style="1"/>
    <col min="16129" max="16129" width="9.28515625" style="1" customWidth="1"/>
    <col min="16130" max="16130" width="1.7109375" style="1" customWidth="1"/>
    <col min="16131" max="16134" width="12" style="1" customWidth="1"/>
    <col min="16135" max="16135" width="11.85546875" style="1" customWidth="1"/>
    <col min="16136" max="16136" width="10.7109375" style="1" customWidth="1"/>
    <col min="16137" max="16137" width="10.5703125" style="1" customWidth="1"/>
    <col min="16138" max="16138" width="1.140625" style="1" customWidth="1"/>
    <col min="16139" max="16139" width="11.28515625" style="1" customWidth="1"/>
    <col min="16140" max="16140" width="12.7109375" style="1" customWidth="1"/>
    <col min="16141" max="16141" width="11.5703125" style="1" customWidth="1"/>
    <col min="16142" max="16142" width="12.42578125" style="1" customWidth="1"/>
    <col min="16143" max="16143" width="1.5703125" style="1" customWidth="1"/>
    <col min="16144" max="16144" width="11.42578125" style="1" customWidth="1"/>
    <col min="16145" max="16145" width="12.140625" style="1" customWidth="1"/>
    <col min="16146" max="16146" width="1.7109375" style="1" customWidth="1"/>
    <col min="16147" max="16147" width="13.5703125" style="1" customWidth="1"/>
    <col min="16148" max="16384" width="9.140625" style="1"/>
  </cols>
  <sheetData>
    <row r="1" spans="1:26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6" s="8" customFormat="1" ht="14.25" customHeight="1" x14ac:dyDescent="0.25">
      <c r="A9" s="67" t="s">
        <v>57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6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T11" s="59"/>
      <c r="V11" s="76" t="s">
        <v>50</v>
      </c>
      <c r="W11" s="77"/>
      <c r="X11" s="77"/>
      <c r="Y11" s="77"/>
      <c r="Z11" s="78"/>
    </row>
    <row r="12" spans="1:26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T12" s="21" t="s">
        <v>33</v>
      </c>
      <c r="V12" s="16" t="s">
        <v>4</v>
      </c>
      <c r="W12" s="36"/>
      <c r="X12" s="36"/>
      <c r="Y12" s="36"/>
      <c r="Z12" s="36" t="s">
        <v>23</v>
      </c>
    </row>
    <row r="13" spans="1:26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T13" s="21" t="s">
        <v>34</v>
      </c>
      <c r="V13" s="16" t="s">
        <v>4</v>
      </c>
      <c r="W13" s="16" t="s">
        <v>24</v>
      </c>
      <c r="X13" s="36" t="s">
        <v>4</v>
      </c>
      <c r="Y13" s="36" t="s">
        <v>25</v>
      </c>
      <c r="Z13" s="36" t="s">
        <v>26</v>
      </c>
    </row>
    <row r="14" spans="1:26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T14" s="43" t="s">
        <v>16</v>
      </c>
      <c r="V14" s="23" t="s">
        <v>21</v>
      </c>
      <c r="W14" s="23" t="s">
        <v>27</v>
      </c>
      <c r="X14" s="37" t="s">
        <v>28</v>
      </c>
      <c r="Y14" s="37" t="s">
        <v>29</v>
      </c>
      <c r="Z14" s="37" t="s">
        <v>30</v>
      </c>
    </row>
    <row r="15" spans="1:26" x14ac:dyDescent="0.25">
      <c r="A15" s="4">
        <v>43191</v>
      </c>
      <c r="C15" s="46">
        <f>+'[3]18-19 RW Catskills Monthly '!C14+'[4]del Lago Monthly FY 18-19'!C14+'[1]18 -19 Tioga Monthly '!C14+'[2]18-19 Rivers Monthly'!C14</f>
        <v>425703598.66999996</v>
      </c>
      <c r="D15" s="46">
        <f>+'[3]18-19 RW Catskills Monthly '!D14+'[4]del Lago Monthly FY 18-19'!D14+'[1]18 -19 Tioga Monthly '!D14+'[2]18-19 Rivers Monthly'!D14</f>
        <v>6357761.5300000012</v>
      </c>
      <c r="E15" s="46">
        <f>+'[3]18-19 RW Catskills Monthly '!E14+'[4]del Lago Monthly FY 18-19'!E14+'[1]18 -19 Tioga Monthly '!E14+'[2]18-19 Rivers Monthly'!E14</f>
        <v>388311248.42000002</v>
      </c>
      <c r="F15" s="46">
        <f>+'[3]18-19 RW Catskills Monthly '!F14+'[4]del Lago Monthly FY 18-19'!F14+'[1]18 -19 Tioga Monthly '!F14+'[2]18-19 Rivers Monthly'!F14</f>
        <v>31034588.719999999</v>
      </c>
      <c r="G15" s="46"/>
      <c r="H15" s="49">
        <f>+'[3]18-19 RW Catskills Monthly '!H14+'[4]del Lago Monthly FY 18-19'!H14+'[1]18 -19 Tioga Monthly '!H14+'[2]18-19 Rivers Monthly'!H14</f>
        <v>6204.5</v>
      </c>
      <c r="I15" s="46">
        <f>+F15/H15/30</f>
        <v>166.7316126467349</v>
      </c>
      <c r="J15" s="48"/>
      <c r="K15" s="48"/>
      <c r="L15" s="49">
        <f>+'[3]18-19 RW Catskills Monthly '!L14+'[4]del Lago Monthly FY 18-19'!L14+'[1]18 -19 Tioga Monthly '!L14+'[2]18-19 Rivers Monthly'!L14</f>
        <v>315</v>
      </c>
      <c r="M15" s="53">
        <f>+'[3]18-19 RW Catskills Monthly '!M14+'[4]del Lago Monthly FY 18-19'!M14+'[1]18 -19 Tioga Monthly '!M14+'[2]18-19 Rivers Monthly'!M14</f>
        <v>75146999</v>
      </c>
      <c r="N15" s="53">
        <f>+'[3]18-19 RW Catskills Monthly '!N14+'[4]del Lago Monthly FY 18-19'!N14+'[1]18 -19 Tioga Monthly '!N14+'[2]18-19 Rivers Monthly'!N14</f>
        <v>1590380</v>
      </c>
      <c r="O15" s="53">
        <f>+'[3]18-19 RW Catskills Monthly '!O14+'[4]del Lago Monthly FY 18-19'!O14+'[1]18 -19 Tioga Monthly '!O14+'[2]18-19 Rivers Monthly'!O14</f>
        <v>11472963.060000001</v>
      </c>
      <c r="P15" s="49"/>
      <c r="Q15" s="49">
        <f>+'[3]18-19 RW Catskills Monthly '!Q14+'[4]del Lago Monthly FY 18-19'!Q14+'[1]18 -19 Tioga Monthly '!Q14+'[2]18-19 Rivers Monthly'!Q14</f>
        <v>61</v>
      </c>
      <c r="R15" s="53">
        <f>+'[3]18-19 RW Catskills Monthly '!R14+'[4]del Lago Monthly FY 18-19'!R14+'[1]18 -19 Tioga Monthly '!R14+'[2]18-19 Rivers Monthly'!R14</f>
        <v>1270564.01</v>
      </c>
      <c r="S15" s="49"/>
      <c r="T15" s="53"/>
      <c r="U15"/>
      <c r="V15" s="46">
        <f>+'[3]18-19 RW Catskills Monthly '!T14+'[4]del Lago Monthly FY 18-19'!V14+'[1]18 -19 Tioga Monthly '!T14+'[2]18-19 Rivers Monthly'!T14</f>
        <v>43778115.789999999</v>
      </c>
      <c r="W15" s="30">
        <f>+'[1]18 -19 Tioga Monthly '!C36+'[2]18-19 Rivers Monthly'!C36+'[3]18-19 RW Catskills Monthly '!C36+'[4]del Lago Monthly FY 18-19'!C36</f>
        <v>30172277.605400003</v>
      </c>
      <c r="X15" s="30">
        <f>+'[1]18 -19 Tioga Monthly '!D36+'[2]18-19 Rivers Monthly'!D36+'[3]18-19 RW Catskills Monthly '!D36+'[4]del Lago Monthly FY 18-19'!D36</f>
        <v>13605838.184599999</v>
      </c>
      <c r="Y15" s="30">
        <f>+'[3]18-19 RW Catskills Monthly '!E36+'[4]del Lago Monthly FY 18-19'!E36+'[1]18 -19 Tioga Monthly '!E36+'[2]18-19 Rivers Monthly'!E36</f>
        <v>41358.06</v>
      </c>
      <c r="Z15" s="30">
        <f>+'[3]18-19 RW Catskills Monthly '!F36+'[4]del Lago Monthly FY 18-19'!F36+'[1]18 -19 Tioga Monthly '!F36+'[2]18-19 Rivers Monthly'!F36</f>
        <v>60087.94</v>
      </c>
    </row>
    <row r="16" spans="1:26" x14ac:dyDescent="0.25">
      <c r="A16" s="4">
        <f>+A15+31</f>
        <v>43222</v>
      </c>
      <c r="C16" s="46">
        <f>+'[3]18-19 RW Catskills Monthly '!C15+'[4]del Lago Monthly FY 18-19'!C15+'[1]18 -19 Tioga Monthly '!C15+'[2]18-19 Rivers Monthly'!C15</f>
        <v>413480903.94999999</v>
      </c>
      <c r="D16" s="46">
        <f>+'[3]18-19 RW Catskills Monthly '!D15+'[4]del Lago Monthly FY 18-19'!D15+'[1]18 -19 Tioga Monthly '!D15+'[2]18-19 Rivers Monthly'!D15</f>
        <v>6064193.96</v>
      </c>
      <c r="E16" s="46">
        <f>+'[3]18-19 RW Catskills Monthly '!E15+'[4]del Lago Monthly FY 18-19'!E15+'[1]18 -19 Tioga Monthly '!E15+'[2]18-19 Rivers Monthly'!E15</f>
        <v>377385650.81999999</v>
      </c>
      <c r="F16" s="46">
        <f>+'[3]18-19 RW Catskills Monthly '!F15+'[4]del Lago Monthly FY 18-19'!F15+'[1]18 -19 Tioga Monthly '!F15+'[2]18-19 Rivers Monthly'!F15</f>
        <v>30031059.169999998</v>
      </c>
      <c r="G16" s="46"/>
      <c r="H16" s="49">
        <f>+'[3]18-19 RW Catskills Monthly '!H15+'[4]del Lago Monthly FY 18-19'!H15+'[1]18 -19 Tioga Monthly '!H15+'[2]18-19 Rivers Monthly'!H15</f>
        <v>6207.38</v>
      </c>
      <c r="I16" s="46">
        <f>+F16/H16/31</f>
        <v>156.06324152759268</v>
      </c>
      <c r="J16" s="48"/>
      <c r="K16" s="48"/>
      <c r="L16" s="49">
        <f>+'[3]18-19 RW Catskills Monthly '!L15+'[4]del Lago Monthly FY 18-19'!L15+'[1]18 -19 Tioga Monthly '!L15+'[2]18-19 Rivers Monthly'!L15</f>
        <v>319</v>
      </c>
      <c r="M16" s="53">
        <f>+'[3]18-19 RW Catskills Monthly '!M15+'[4]del Lago Monthly FY 18-19'!M15+'[1]18 -19 Tioga Monthly '!M15+'[2]18-19 Rivers Monthly'!M15</f>
        <v>74698727.549999997</v>
      </c>
      <c r="N16" s="53">
        <f>+'[3]18-19 RW Catskills Monthly '!N15+'[4]del Lago Monthly FY 18-19'!N15+'[1]18 -19 Tioga Monthly '!N15+'[2]18-19 Rivers Monthly'!N15</f>
        <v>2547030</v>
      </c>
      <c r="O16" s="53">
        <f>+'[3]18-19 RW Catskills Monthly '!O15+'[4]del Lago Monthly FY 18-19'!O15+'[1]18 -19 Tioga Monthly '!O15+'[2]18-19 Rivers Monthly'!O15</f>
        <v>12434961.6</v>
      </c>
      <c r="P16" s="49"/>
      <c r="Q16" s="49">
        <f>+'[3]18-19 RW Catskills Monthly '!Q15+'[4]del Lago Monthly FY 18-19'!Q15+'[1]18 -19 Tioga Monthly '!Q15+'[2]18-19 Rivers Monthly'!Q15</f>
        <v>61</v>
      </c>
      <c r="R16" s="53">
        <f>+'[3]18-19 RW Catskills Monthly '!R15+'[4]del Lago Monthly FY 18-19'!R15+'[1]18 -19 Tioga Monthly '!R15+'[2]18-19 Rivers Monthly'!R15</f>
        <v>1180150.01</v>
      </c>
      <c r="S16" s="49"/>
      <c r="T16" s="53"/>
      <c r="U16"/>
      <c r="V16" s="46">
        <f>+'[3]18-19 RW Catskills Monthly '!T15+'[4]del Lago Monthly FY 18-19'!V15+'[1]18 -19 Tioga Monthly '!T15+'[2]18-19 Rivers Monthly'!T15</f>
        <v>43646170.780000001</v>
      </c>
      <c r="W16" s="30">
        <f>+'[1]18 -19 Tioga Monthly '!C37+'[2]18-19 Rivers Monthly'!C37+'[3]18-19 RW Catskills Monthly '!C37+'[4]del Lago Monthly FY 18-19'!C37</f>
        <v>30336758.186900001</v>
      </c>
      <c r="X16" s="30">
        <f>+'[1]18 -19 Tioga Monthly '!D37+'[2]18-19 Rivers Monthly'!D37+'[3]18-19 RW Catskills Monthly '!D37+'[4]del Lago Monthly FY 18-19'!D37</f>
        <v>13309412.5931</v>
      </c>
      <c r="Y16" s="30">
        <f>+'[3]18-19 RW Catskills Monthly '!E37+'[4]del Lago Monthly FY 18-19'!E37+'[1]18 -19 Tioga Monthly '!E37+'[2]18-19 Rivers Monthly'!E37</f>
        <v>38586.82</v>
      </c>
      <c r="Z16" s="30">
        <f>+'[3]18-19 RW Catskills Monthly '!F37+'[4]del Lago Monthly FY 18-19'!F37+'[1]18 -19 Tioga Monthly '!F37+'[2]18-19 Rivers Monthly'!F37</f>
        <v>0</v>
      </c>
    </row>
    <row r="17" spans="1:26" x14ac:dyDescent="0.25">
      <c r="A17" s="4">
        <f t="shared" ref="A17:A26" si="0">+A16+31</f>
        <v>43253</v>
      </c>
      <c r="C17" s="46">
        <f>+'[3]18-19 RW Catskills Monthly '!C16+'[4]del Lago Monthly FY 18-19'!C16+'[1]18 -19 Tioga Monthly '!C16+'[2]18-19 Rivers Monthly'!C16</f>
        <v>406410149.57000005</v>
      </c>
      <c r="D17" s="46">
        <f>+'[3]18-19 RW Catskills Monthly '!D16+'[4]del Lago Monthly FY 18-19'!D16+'[1]18 -19 Tioga Monthly '!D16+'[2]18-19 Rivers Monthly'!D16</f>
        <v>5889073.1500000004</v>
      </c>
      <c r="E17" s="46">
        <f>+'[3]18-19 RW Catskills Monthly '!E16+'[4]del Lago Monthly FY 18-19'!E16+'[1]18 -19 Tioga Monthly '!E16+'[2]18-19 Rivers Monthly'!E16</f>
        <v>370424345.51999998</v>
      </c>
      <c r="F17" s="46">
        <f>+'[3]18-19 RW Catskills Monthly '!F16+'[4]del Lago Monthly FY 18-19'!F16+'[1]18 -19 Tioga Monthly '!F16+'[2]18-19 Rivers Monthly'!F16</f>
        <v>30096730.899999999</v>
      </c>
      <c r="G17" s="46"/>
      <c r="H17" s="49">
        <f>+'[3]18-19 RW Catskills Monthly '!H16+'[4]del Lago Monthly FY 18-19'!H16+'[1]18 -19 Tioga Monthly '!H16+'[2]18-19 Rivers Monthly'!H16</f>
        <v>6209</v>
      </c>
      <c r="I17" s="46">
        <f t="shared" ref="I17:I22" si="1">+F17/H17/30</f>
        <v>161.57583561496753</v>
      </c>
      <c r="J17" s="48"/>
      <c r="K17" s="48"/>
      <c r="L17" s="49">
        <f>+'[3]18-19 RW Catskills Monthly '!L16+'[4]del Lago Monthly FY 18-19'!L16+'[1]18 -19 Tioga Monthly '!L16+'[2]18-19 Rivers Monthly'!L16</f>
        <v>319</v>
      </c>
      <c r="M17" s="53">
        <f>+'[3]18-19 RW Catskills Monthly '!M16+'[4]del Lago Monthly FY 18-19'!M16+'[1]18 -19 Tioga Monthly '!M16+'[2]18-19 Rivers Monthly'!M16</f>
        <v>77152372.099999994</v>
      </c>
      <c r="N17" s="53">
        <f>+'[3]18-19 RW Catskills Monthly '!N16+'[4]del Lago Monthly FY 18-19'!N16+'[1]18 -19 Tioga Monthly '!N16+'[2]18-19 Rivers Monthly'!N16</f>
        <v>2691225</v>
      </c>
      <c r="O17" s="53">
        <f>+'[3]18-19 RW Catskills Monthly '!O16+'[4]del Lago Monthly FY 18-19'!O16+'[1]18 -19 Tioga Monthly '!O16+'[2]18-19 Rivers Monthly'!O16</f>
        <v>13230447.9</v>
      </c>
      <c r="P17" s="49"/>
      <c r="Q17" s="49">
        <f>+'[3]18-19 RW Catskills Monthly '!Q16+'[4]del Lago Monthly FY 18-19'!Q16+'[1]18 -19 Tioga Monthly '!Q16+'[2]18-19 Rivers Monthly'!Q16</f>
        <v>61</v>
      </c>
      <c r="R17" s="53">
        <f>+'[3]18-19 RW Catskills Monthly '!R16+'[4]del Lago Monthly FY 18-19'!R16+'[1]18 -19 Tioga Monthly '!R16+'[2]18-19 Rivers Monthly'!R16</f>
        <v>1108059</v>
      </c>
      <c r="S17" s="49"/>
      <c r="T17" s="53"/>
      <c r="U17"/>
      <c r="V17" s="46">
        <f>+'[3]18-19 RW Catskills Monthly '!T16+'[4]del Lago Monthly FY 18-19'!V16+'[1]18 -19 Tioga Monthly '!T16+'[2]18-19 Rivers Monthly'!T16</f>
        <v>44435237.799999997</v>
      </c>
      <c r="W17" s="30">
        <f>+'[1]18 -19 Tioga Monthly '!C38+'[2]18-19 Rivers Monthly'!C38+'[3]18-19 RW Catskills Monthly '!C38+'[4]del Lago Monthly FY 18-19'!C38</f>
        <v>31041128.919200003</v>
      </c>
      <c r="X17" s="30">
        <f>+'[1]18 -19 Tioga Monthly '!D38+'[2]18-19 Rivers Monthly'!D38+'[3]18-19 RW Catskills Monthly '!D38+'[4]del Lago Monthly FY 18-19'!D38</f>
        <v>13394108.880799999</v>
      </c>
      <c r="Y17" s="30">
        <f>+'[3]18-19 RW Catskills Monthly '!E38+'[4]del Lago Monthly FY 18-19'!E38+'[1]18 -19 Tioga Monthly '!E38+'[2]18-19 Rivers Monthly'!E38</f>
        <v>24433.9</v>
      </c>
      <c r="Z17" s="30">
        <f>+'[3]18-19 RW Catskills Monthly '!F38+'[4]del Lago Monthly FY 18-19'!F38+'[1]18 -19 Tioga Monthly '!F38+'[2]18-19 Rivers Monthly'!F38</f>
        <v>25000</v>
      </c>
    </row>
    <row r="18" spans="1:26" x14ac:dyDescent="0.25">
      <c r="A18" s="4">
        <f t="shared" si="0"/>
        <v>43284</v>
      </c>
      <c r="C18" s="46">
        <f>+'[3]18-19 RW Catskills Monthly '!C17+'[4]del Lago Monthly FY 18-19'!C17+'[1]18 -19 Tioga Monthly '!C17+'[2]18-19 Rivers Monthly'!C17</f>
        <v>438973350.75999999</v>
      </c>
      <c r="D18" s="46">
        <f>+'[3]18-19 RW Catskills Monthly '!D17+'[4]del Lago Monthly FY 18-19'!D17+'[1]18 -19 Tioga Monthly '!D17+'[2]18-19 Rivers Monthly'!D17</f>
        <v>6078606.8399999999</v>
      </c>
      <c r="E18" s="46">
        <f>+'[3]18-19 RW Catskills Monthly '!E17+'[4]del Lago Monthly FY 18-19'!E17+'[1]18 -19 Tioga Monthly '!E17+'[2]18-19 Rivers Monthly'!E17</f>
        <v>400044259.44999999</v>
      </c>
      <c r="F18" s="46">
        <f>+'[3]18-19 RW Catskills Monthly '!F17+'[4]del Lago Monthly FY 18-19'!F17+'[1]18 -19 Tioga Monthly '!F17+'[2]18-19 Rivers Monthly'!F17</f>
        <v>32850484.469999999</v>
      </c>
      <c r="G18" s="46"/>
      <c r="H18" s="49">
        <f>+'[3]18-19 RW Catskills Monthly '!H17+'[4]del Lago Monthly FY 18-19'!H17+'[1]18 -19 Tioga Monthly '!H17+'[2]18-19 Rivers Monthly'!H17</f>
        <v>6206</v>
      </c>
      <c r="I18" s="46">
        <f>+F18/H18/31</f>
        <v>170.75298862703107</v>
      </c>
      <c r="J18" s="48"/>
      <c r="K18" s="48"/>
      <c r="L18" s="49">
        <f>+'[3]18-19 RW Catskills Monthly '!L17+'[4]del Lago Monthly FY 18-19'!L17+'[1]18 -19 Tioga Monthly '!L17+'[2]18-19 Rivers Monthly'!L17</f>
        <v>319</v>
      </c>
      <c r="M18" s="53">
        <f>+'[3]18-19 RW Catskills Monthly '!M17+'[4]del Lago Monthly FY 18-19'!M17+'[1]18 -19 Tioga Monthly '!M17+'[2]18-19 Rivers Monthly'!M17</f>
        <v>83089402</v>
      </c>
      <c r="N18" s="53">
        <f>+'[3]18-19 RW Catskills Monthly '!N17+'[4]del Lago Monthly FY 18-19'!N17+'[1]18 -19 Tioga Monthly '!N17+'[2]18-19 Rivers Monthly'!N17</f>
        <v>2805786</v>
      </c>
      <c r="O18" s="53">
        <f>+'[3]18-19 RW Catskills Monthly '!O17+'[4]del Lago Monthly FY 18-19'!O17+'[1]18 -19 Tioga Monthly '!O17+'[2]18-19 Rivers Monthly'!O17</f>
        <v>11376374.98</v>
      </c>
      <c r="P18" s="49"/>
      <c r="Q18" s="49">
        <f>+'[3]18-19 RW Catskills Monthly '!Q17+'[4]del Lago Monthly FY 18-19'!Q17+'[1]18 -19 Tioga Monthly '!Q17+'[2]18-19 Rivers Monthly'!Q17</f>
        <v>61</v>
      </c>
      <c r="R18" s="53">
        <f>+'[3]18-19 RW Catskills Monthly '!R17+'[4]del Lago Monthly FY 18-19'!R17+'[1]18 -19 Tioga Monthly '!R17+'[2]18-19 Rivers Monthly'!R17</f>
        <v>1279916</v>
      </c>
      <c r="S18" s="49"/>
      <c r="T18" s="53"/>
      <c r="U18"/>
      <c r="V18" s="46">
        <f>+'[3]18-19 RW Catskills Monthly '!T17+'[4]del Lago Monthly FY 18-19'!V17+'[1]18 -19 Tioga Monthly '!T17+'[2]18-19 Rivers Monthly'!T17</f>
        <v>45506775.450000003</v>
      </c>
      <c r="W18" s="30">
        <f>+'[1]18 -19 Tioga Monthly '!C39+'[2]18-19 Rivers Monthly'!C39+'[3]18-19 RW Catskills Monthly '!C39+'[4]del Lago Monthly FY 18-19'!C39</f>
        <v>31191548.269099999</v>
      </c>
      <c r="X18" s="30">
        <f>+'[1]18 -19 Tioga Monthly '!D39+'[2]18-19 Rivers Monthly'!D39+'[3]18-19 RW Catskills Monthly '!D39+'[4]del Lago Monthly FY 18-19'!D39</f>
        <v>14315227.1809</v>
      </c>
      <c r="Y18" s="30">
        <f>+'[3]18-19 RW Catskills Monthly '!E39+'[4]del Lago Monthly FY 18-19'!E39+'[1]18 -19 Tioga Monthly '!E39+'[2]18-19 Rivers Monthly'!E39</f>
        <v>28177.24</v>
      </c>
      <c r="Z18" s="30">
        <f>+'[3]18-19 RW Catskills Monthly '!F39+'[4]del Lago Monthly FY 18-19'!F39+'[1]18 -19 Tioga Monthly '!F39+'[2]18-19 Rivers Monthly'!F39</f>
        <v>0</v>
      </c>
    </row>
    <row r="19" spans="1:26" x14ac:dyDescent="0.25">
      <c r="A19" s="4">
        <f t="shared" si="0"/>
        <v>43315</v>
      </c>
      <c r="C19" s="46">
        <f>+'[3]18-19 RW Catskills Monthly '!C18+'[4]del Lago Monthly FY 18-19'!C18+'[1]18 -19 Tioga Monthly '!C18+'[2]18-19 Rivers Monthly'!C18</f>
        <v>479025609.92999995</v>
      </c>
      <c r="D19" s="46">
        <f>+'[3]18-19 RW Catskills Monthly '!D18+'[4]del Lago Monthly FY 18-19'!D18+'[1]18 -19 Tioga Monthly '!D18+'[2]18-19 Rivers Monthly'!D18</f>
        <v>8100366.6600000001</v>
      </c>
      <c r="E19" s="46">
        <f>+'[3]18-19 RW Catskills Monthly '!E18+'[4]del Lago Monthly FY 18-19'!E18+'[1]18 -19 Tioga Monthly '!E18+'[2]18-19 Rivers Monthly'!E18</f>
        <v>436919556.50999999</v>
      </c>
      <c r="F19" s="46">
        <f>+'[3]18-19 RW Catskills Monthly '!F18+'[4]del Lago Monthly FY 18-19'!F18+'[1]18 -19 Tioga Monthly '!F18+'[2]18-19 Rivers Monthly'!F18</f>
        <v>34005686.760000005</v>
      </c>
      <c r="G19" s="46"/>
      <c r="H19" s="49">
        <f>+'[3]18-19 RW Catskills Monthly '!H18+'[4]del Lago Monthly FY 18-19'!H18+'[1]18 -19 Tioga Monthly '!H18+'[2]18-19 Rivers Monthly'!H18</f>
        <v>6209</v>
      </c>
      <c r="I19" s="46">
        <f>+F19/H19/31</f>
        <v>176.67219156375504</v>
      </c>
      <c r="J19" s="48"/>
      <c r="K19" s="48"/>
      <c r="L19" s="49">
        <f>+'[3]18-19 RW Catskills Monthly '!L18+'[4]del Lago Monthly FY 18-19'!L18+'[1]18 -19 Tioga Monthly '!L18+'[2]18-19 Rivers Monthly'!L18</f>
        <v>311</v>
      </c>
      <c r="M19" s="53">
        <f>+'[3]18-19 RW Catskills Monthly '!M18+'[4]del Lago Monthly FY 18-19'!M18+'[1]18 -19 Tioga Monthly '!M18+'[2]18-19 Rivers Monthly'!M18</f>
        <v>85626442</v>
      </c>
      <c r="N19" s="53">
        <f>+'[3]18-19 RW Catskills Monthly '!N18+'[4]del Lago Monthly FY 18-19'!N18+'[1]18 -19 Tioga Monthly '!N18+'[2]18-19 Rivers Monthly'!N18</f>
        <v>2765095</v>
      </c>
      <c r="O19" s="53">
        <f>+'[3]18-19 RW Catskills Monthly '!O18+'[4]del Lago Monthly FY 18-19'!O18+'[1]18 -19 Tioga Monthly '!O18+'[2]18-19 Rivers Monthly'!O18</f>
        <v>14278457.5</v>
      </c>
      <c r="P19" s="49"/>
      <c r="Q19" s="49">
        <f>+'[3]18-19 RW Catskills Monthly '!Q18+'[4]del Lago Monthly FY 18-19'!Q18+'[1]18 -19 Tioga Monthly '!Q18+'[2]18-19 Rivers Monthly'!Q18</f>
        <v>61</v>
      </c>
      <c r="R19" s="53">
        <f>+'[3]18-19 RW Catskills Monthly '!R18+'[4]del Lago Monthly FY 18-19'!R18+'[1]18 -19 Tioga Monthly '!R18+'[2]18-19 Rivers Monthly'!R18</f>
        <v>1253041</v>
      </c>
      <c r="S19" s="49"/>
      <c r="T19" s="53"/>
      <c r="U19"/>
      <c r="V19" s="46">
        <f>+'[3]18-19 RW Catskills Monthly '!T18+'[4]del Lago Monthly FY 18-19'!V18+'[1]18 -19 Tioga Monthly '!T18+'[2]18-19 Rivers Monthly'!T18</f>
        <v>49537185.259999998</v>
      </c>
      <c r="W19" s="30">
        <f>+'[1]18 -19 Tioga Monthly '!C40+'[2]18-19 Rivers Monthly'!C40+'[3]18-19 RW Catskills Monthly '!C40+'[4]del Lago Monthly FY 18-19'!C40</f>
        <v>34475969.329999998</v>
      </c>
      <c r="X19" s="30">
        <f>+'[1]18 -19 Tioga Monthly '!D40+'[2]18-19 Rivers Monthly'!D40+'[3]18-19 RW Catskills Monthly '!D40+'[4]del Lago Monthly FY 18-19'!D40</f>
        <v>15061215.93</v>
      </c>
      <c r="Y19" s="30">
        <f>+'[3]18-19 RW Catskills Monthly '!E40+'[4]del Lago Monthly FY 18-19'!E40+'[1]18 -19 Tioga Monthly '!E40+'[2]18-19 Rivers Monthly'!E40</f>
        <v>31876.48</v>
      </c>
      <c r="Z19" s="30">
        <f>+'[3]18-19 RW Catskills Monthly '!F40+'[4]del Lago Monthly FY 18-19'!F40+'[1]18 -19 Tioga Monthly '!F40+'[2]18-19 Rivers Monthly'!F40</f>
        <v>25000</v>
      </c>
    </row>
    <row r="20" spans="1:26" x14ac:dyDescent="0.25">
      <c r="A20" s="4">
        <f t="shared" si="0"/>
        <v>43346</v>
      </c>
      <c r="C20" s="46">
        <f>+'[3]18-19 RW Catskills Monthly '!C19+'[4]del Lago Monthly FY 18-19'!C19+'[1]18 -19 Tioga Monthly '!C19+'[2]18-19 Rivers Monthly'!C19</f>
        <v>458283359.79000002</v>
      </c>
      <c r="D20" s="46">
        <f>+'[3]18-19 RW Catskills Monthly '!D19+'[4]del Lago Monthly FY 18-19'!D19+'[1]18 -19 Tioga Monthly '!D19+'[2]18-19 Rivers Monthly'!D19</f>
        <v>6472860.2199999997</v>
      </c>
      <c r="E20" s="46">
        <f>+'[3]18-19 RW Catskills Monthly '!E19+'[4]del Lago Monthly FY 18-19'!E19+'[1]18 -19 Tioga Monthly '!E19+'[2]18-19 Rivers Monthly'!E19</f>
        <v>418226044.80000001</v>
      </c>
      <c r="F20" s="46">
        <f>+'[3]18-19 RW Catskills Monthly '!F19+'[4]del Lago Monthly FY 18-19'!F19+'[1]18 -19 Tioga Monthly '!F19+'[2]18-19 Rivers Monthly'!F19</f>
        <v>33584454.770000003</v>
      </c>
      <c r="G20" s="46"/>
      <c r="H20" s="49">
        <f>+'[3]18-19 RW Catskills Monthly '!H19+'[4]del Lago Monthly FY 18-19'!H19+'[1]18 -19 Tioga Monthly '!H19+'[2]18-19 Rivers Monthly'!H19</f>
        <v>6212</v>
      </c>
      <c r="I20" s="46">
        <f t="shared" si="1"/>
        <v>180.21278584460188</v>
      </c>
      <c r="J20" s="48"/>
      <c r="K20" s="48"/>
      <c r="L20" s="49">
        <f>+'[3]18-19 RW Catskills Monthly '!L19+'[4]del Lago Monthly FY 18-19'!L19+'[1]18 -19 Tioga Monthly '!L19+'[2]18-19 Rivers Monthly'!L19</f>
        <v>310</v>
      </c>
      <c r="M20" s="53">
        <f>+'[3]18-19 RW Catskills Monthly '!M19+'[4]del Lago Monthly FY 18-19'!M19+'[1]18 -19 Tioga Monthly '!M19+'[2]18-19 Rivers Monthly'!M19</f>
        <v>72543170.25</v>
      </c>
      <c r="N20" s="53">
        <f>+'[3]18-19 RW Catskills Monthly '!N19+'[4]del Lago Monthly FY 18-19'!N19+'[1]18 -19 Tioga Monthly '!N19+'[2]18-19 Rivers Monthly'!N19</f>
        <v>1735900</v>
      </c>
      <c r="O20" s="53">
        <f>+'[3]18-19 RW Catskills Monthly '!O19+'[4]del Lago Monthly FY 18-19'!O19+'[1]18 -19 Tioga Monthly '!O19+'[2]18-19 Rivers Monthly'!O19</f>
        <v>14464151.629999999</v>
      </c>
      <c r="P20" s="49"/>
      <c r="Q20" s="57">
        <f>+'[3]18-19 RW Catskills Monthly '!Q19+'[4]del Lago Monthly FY 18-19'!Q19+'[1]18 -19 Tioga Monthly '!Q19+'[2]18-19 Rivers Monthly'!Q19</f>
        <v>61</v>
      </c>
      <c r="R20" s="58">
        <f>+'[3]18-19 RW Catskills Monthly '!R19+'[4]del Lago Monthly FY 18-19'!R19+'[1]18 -19 Tioga Monthly '!R19+'[2]18-19 Rivers Monthly'!R19</f>
        <v>1058334.5</v>
      </c>
      <c r="S20" s="49"/>
      <c r="T20" s="53"/>
      <c r="U20"/>
      <c r="V20" s="46">
        <f>+'[3]18-19 RW Catskills Monthly '!T19+'[4]del Lago Monthly FY 18-19'!V19+'[1]18 -19 Tioga Monthly '!T19+'[2]18-19 Rivers Monthly'!T19</f>
        <v>49106940.900000006</v>
      </c>
      <c r="W20" s="30">
        <f>+'[1]18 -19 Tioga Monthly '!C41+'[2]18-19 Rivers Monthly'!C41+'[3]18-19 RW Catskills Monthly '!C41+'[4]del Lago Monthly FY 18-19'!C41</f>
        <v>34250556.935699999</v>
      </c>
      <c r="X20" s="30">
        <f>+'[1]18 -19 Tioga Monthly '!D41+'[2]18-19 Rivers Monthly'!D41+'[3]18-19 RW Catskills Monthly '!D41+'[4]del Lago Monthly FY 18-19'!D41</f>
        <v>14856383.964299999</v>
      </c>
      <c r="Y20" s="30">
        <f>+'[3]18-19 RW Catskills Monthly '!E41+'[4]del Lago Monthly FY 18-19'!E41+'[1]18 -19 Tioga Monthly '!E41+'[2]18-19 Rivers Monthly'!E41</f>
        <v>28444.879999999997</v>
      </c>
      <c r="Z20" s="54">
        <f>+'[3]18-19 RW Catskills Monthly '!F41+'[4]del Lago Monthly FY 18-19'!F41+'[1]18 -19 Tioga Monthly '!F41+'[2]18-19 Rivers Monthly'!F41</f>
        <v>-4277.08</v>
      </c>
    </row>
    <row r="21" spans="1:26" x14ac:dyDescent="0.25">
      <c r="A21" s="4">
        <f t="shared" si="0"/>
        <v>43377</v>
      </c>
      <c r="C21" s="46">
        <f>+'[3]18-19 RW Catskills Monthly '!C20+'[4]del Lago Monthly FY 18-19'!C20+'[1]18 -19 Tioga Monthly '!C20+'[2]18-19 Rivers Monthly'!C20</f>
        <v>416816553.51999998</v>
      </c>
      <c r="D21" s="46">
        <f>+'[3]18-19 RW Catskills Monthly '!D20+'[4]del Lago Monthly FY 18-19'!D20+'[1]18 -19 Tioga Monthly '!D20+'[2]18-19 Rivers Monthly'!D20</f>
        <v>5743856.7199999997</v>
      </c>
      <c r="E21" s="46">
        <f>+'[3]18-19 RW Catskills Monthly '!E20+'[4]del Lago Monthly FY 18-19'!E20+'[1]18 -19 Tioga Monthly '!E20+'[2]18-19 Rivers Monthly'!E20</f>
        <v>380313655.53999996</v>
      </c>
      <c r="F21" s="46">
        <f>+'[3]18-19 RW Catskills Monthly '!F20+'[4]del Lago Monthly FY 18-19'!F20+'[1]18 -19 Tioga Monthly '!F20+'[2]18-19 Rivers Monthly'!F20</f>
        <v>30759041.259999998</v>
      </c>
      <c r="G21" s="46"/>
      <c r="H21" s="49">
        <f>+'[3]18-19 RW Catskills Monthly '!H20+'[4]del Lago Monthly FY 18-19'!H20+'[1]18 -19 Tioga Monthly '!H20+'[2]18-19 Rivers Monthly'!H20</f>
        <v>6212</v>
      </c>
      <c r="I21" s="46">
        <f>+F21/H21/31</f>
        <v>159.72748509648338</v>
      </c>
      <c r="J21" s="48"/>
      <c r="K21" s="48"/>
      <c r="L21" s="49">
        <f>+'[3]18-19 RW Catskills Monthly '!L20+'[4]del Lago Monthly FY 18-19'!L20+'[1]18 -19 Tioga Monthly '!L20+'[2]18-19 Rivers Monthly'!L20</f>
        <v>314</v>
      </c>
      <c r="M21" s="53">
        <f>+'[3]18-19 RW Catskills Monthly '!M20+'[4]del Lago Monthly FY 18-19'!M20+'[1]18 -19 Tioga Monthly '!M20+'[2]18-19 Rivers Monthly'!M20</f>
        <v>69584013.450000003</v>
      </c>
      <c r="N21" s="53">
        <f>+'[3]18-19 RW Catskills Monthly '!N20+'[4]del Lago Monthly FY 18-19'!N20+'[1]18 -19 Tioga Monthly '!N20+'[2]18-19 Rivers Monthly'!N20</f>
        <v>1760060</v>
      </c>
      <c r="O21" s="53">
        <f>+'[3]18-19 RW Catskills Monthly '!O20+'[4]del Lago Monthly FY 18-19'!O20+'[1]18 -19 Tioga Monthly '!O20+'[2]18-19 Rivers Monthly'!O20</f>
        <v>12381188.050000001</v>
      </c>
      <c r="P21" s="49"/>
      <c r="Q21" s="57">
        <f>+'[3]18-19 RW Catskills Monthly '!Q20+'[4]del Lago Monthly FY 18-19'!Q20+'[1]18 -19 Tioga Monthly '!Q20+'[2]18-19 Rivers Monthly'!Q20</f>
        <v>61</v>
      </c>
      <c r="R21" s="58">
        <f>+'[3]18-19 RW Catskills Monthly '!R20+'[4]del Lago Monthly FY 18-19'!R20+'[1]18 -19 Tioga Monthly '!R20+'[2]18-19 Rivers Monthly'!R20</f>
        <v>1081729</v>
      </c>
      <c r="S21" s="49"/>
      <c r="T21" s="53"/>
      <c r="U21"/>
      <c r="V21" s="46">
        <f>+'[3]18-19 RW Catskills Monthly '!T20+'[4]del Lago Monthly FY 18-19'!V20+'[1]18 -19 Tioga Monthly '!T20+'[2]18-19 Rivers Monthly'!T20</f>
        <v>44221958.310000002</v>
      </c>
      <c r="W21" s="30">
        <f>+'[1]18 -19 Tioga Monthly '!C42+'[2]18-19 Rivers Monthly'!C42+'[3]18-19 RW Catskills Monthly '!C42+'[4]del Lago Monthly FY 18-19'!C42</f>
        <v>30687142.3574</v>
      </c>
      <c r="X21" s="30">
        <f>+'[1]18 -19 Tioga Monthly '!D42+'[2]18-19 Rivers Monthly'!D42+'[3]18-19 RW Catskills Monthly '!D42+'[4]del Lago Monthly FY 18-19'!D42</f>
        <v>13534815.9526</v>
      </c>
      <c r="Y21" s="30">
        <f>+'[3]18-19 RW Catskills Monthly '!E42+'[4]del Lago Monthly FY 18-19'!E42+'[1]18 -19 Tioga Monthly '!E42+'[2]18-19 Rivers Monthly'!E42</f>
        <v>29929.43</v>
      </c>
      <c r="Z21" s="30">
        <f>+'[3]18-19 RW Catskills Monthly '!F42+'[4]del Lago Monthly FY 18-19'!F42+'[1]18 -19 Tioga Monthly '!F42+'[2]18-19 Rivers Monthly'!F42</f>
        <v>0</v>
      </c>
    </row>
    <row r="22" spans="1:26" x14ac:dyDescent="0.25">
      <c r="A22" s="4">
        <f t="shared" si="0"/>
        <v>43408</v>
      </c>
      <c r="C22" s="46">
        <f>+'[3]18-19 RW Catskills Monthly '!C21+'[4]del Lago Monthly FY 18-19'!C21+'[1]18 -19 Tioga Monthly '!C21+'[2]18-19 Rivers Monthly'!C21</f>
        <v>400553570.97000003</v>
      </c>
      <c r="D22" s="46">
        <f>+'[3]18-19 RW Catskills Monthly '!D21+'[4]del Lago Monthly FY 18-19'!D21+'[1]18 -19 Tioga Monthly '!D21+'[2]18-19 Rivers Monthly'!D21</f>
        <v>5306322.63</v>
      </c>
      <c r="E22" s="46">
        <f>+'[3]18-19 RW Catskills Monthly '!E21+'[4]del Lago Monthly FY 18-19'!E21+'[1]18 -19 Tioga Monthly '!E21+'[2]18-19 Rivers Monthly'!E21</f>
        <v>364709151.70999998</v>
      </c>
      <c r="F22" s="46">
        <f>+'[3]18-19 RW Catskills Monthly '!F21+'[4]del Lago Monthly FY 18-19'!F21+'[1]18 -19 Tioga Monthly '!F21+'[2]18-19 Rivers Monthly'!F21</f>
        <v>30538096.630000003</v>
      </c>
      <c r="G22" s="46"/>
      <c r="H22" s="49">
        <f>+'[3]18-19 RW Catskills Monthly '!H21+'[4]del Lago Monthly FY 18-19'!H21+'[1]18 -19 Tioga Monthly '!H21+'[2]18-19 Rivers Monthly'!H21</f>
        <v>6212</v>
      </c>
      <c r="I22" s="46">
        <f t="shared" si="1"/>
        <v>163.86615491521789</v>
      </c>
      <c r="J22" s="48"/>
      <c r="K22" s="48"/>
      <c r="L22" s="49">
        <f>+'[3]18-19 RW Catskills Monthly '!L21+'[4]del Lago Monthly FY 18-19'!L21+'[1]18 -19 Tioga Monthly '!L21+'[2]18-19 Rivers Monthly'!L21</f>
        <v>319</v>
      </c>
      <c r="M22" s="53">
        <f>+'[3]18-19 RW Catskills Monthly '!M21+'[4]del Lago Monthly FY 18-19'!M21+'[1]18 -19 Tioga Monthly '!M21+'[2]18-19 Rivers Monthly'!M21</f>
        <v>68253783.210000008</v>
      </c>
      <c r="N22" s="53">
        <f>+'[3]18-19 RW Catskills Monthly '!N21+'[4]del Lago Monthly FY 18-19'!N21+'[1]18 -19 Tioga Monthly '!N21+'[2]18-19 Rivers Monthly'!N21</f>
        <v>1301100</v>
      </c>
      <c r="O22" s="53">
        <f>+'[3]18-19 RW Catskills Monthly '!O21+'[4]del Lago Monthly FY 18-19'!O21+'[1]18 -19 Tioga Monthly '!O21+'[2]18-19 Rivers Monthly'!O21</f>
        <v>13790009.800000001</v>
      </c>
      <c r="P22" s="49"/>
      <c r="Q22" s="57">
        <f>+'[3]18-19 RW Catskills Monthly '!Q21+'[4]del Lago Monthly FY 18-19'!Q21+'[1]18 -19 Tioga Monthly '!Q21+'[2]18-19 Rivers Monthly'!Q21</f>
        <v>61</v>
      </c>
      <c r="R22" s="58">
        <f>+'[3]18-19 RW Catskills Monthly '!R21+'[4]del Lago Monthly FY 18-19'!R21+'[1]18 -19 Tioga Monthly '!R21+'[2]18-19 Rivers Monthly'!R21</f>
        <v>1104112</v>
      </c>
      <c r="S22" s="49"/>
      <c r="T22" s="53"/>
      <c r="U22"/>
      <c r="V22" s="46">
        <f>+'[3]18-19 RW Catskills Monthly '!T21+'[4]del Lago Monthly FY 18-19'!V21+'[1]18 -19 Tioga Monthly '!T21+'[2]18-19 Rivers Monthly'!T21</f>
        <v>45432218.43</v>
      </c>
      <c r="W22" s="30">
        <f>+'[1]18 -19 Tioga Monthly '!C43+'[2]18-19 Rivers Monthly'!C43+'[3]18-19 RW Catskills Monthly '!C43+'[4]del Lago Monthly FY 18-19'!C43</f>
        <v>31814831.324500002</v>
      </c>
      <c r="X22" s="30">
        <f>+'[1]18 -19 Tioga Monthly '!D43+'[2]18-19 Rivers Monthly'!D43+'[3]18-19 RW Catskills Monthly '!D43+'[4]del Lago Monthly FY 18-19'!D43</f>
        <v>13617387.1055</v>
      </c>
      <c r="Y22" s="30">
        <f>+'[3]18-19 RW Catskills Monthly '!E43+'[4]del Lago Monthly FY 18-19'!E43+'[1]18 -19 Tioga Monthly '!E43+'[2]18-19 Rivers Monthly'!E43</f>
        <v>73293.16</v>
      </c>
      <c r="Z22" s="30">
        <f>+'[3]18-19 RW Catskills Monthly '!F43+'[4]del Lago Monthly FY 18-19'!F43+'[1]18 -19 Tioga Monthly '!F43+'[2]18-19 Rivers Monthly'!F43</f>
        <v>750</v>
      </c>
    </row>
    <row r="23" spans="1:26" x14ac:dyDescent="0.25">
      <c r="A23" s="4">
        <f t="shared" si="0"/>
        <v>43439</v>
      </c>
      <c r="C23" s="46">
        <f>+'[3]18-19 RW Catskills Monthly '!C22+'[4]del Lago Monthly FY 18-19'!C22+'[1]18 -19 Tioga Monthly '!C22+'[2]18-19 Rivers Monthly'!C22</f>
        <v>423858793.49000001</v>
      </c>
      <c r="D23" s="46">
        <f>+'[3]18-19 RW Catskills Monthly '!D22+'[4]del Lago Monthly FY 18-19'!D22+'[1]18 -19 Tioga Monthly '!D22+'[2]18-19 Rivers Monthly'!D22</f>
        <v>5501424.25</v>
      </c>
      <c r="E23" s="46">
        <f>+'[3]18-19 RW Catskills Monthly '!E22+'[4]del Lago Monthly FY 18-19'!E22+'[1]18 -19 Tioga Monthly '!E22+'[2]18-19 Rivers Monthly'!E22</f>
        <v>384738680.33000004</v>
      </c>
      <c r="F23" s="46">
        <f>+'[3]18-19 RW Catskills Monthly '!F22+'[4]del Lago Monthly FY 18-19'!F22+'[1]18 -19 Tioga Monthly '!F22+'[2]18-19 Rivers Monthly'!F22</f>
        <v>33618688.909999996</v>
      </c>
      <c r="G23" s="46"/>
      <c r="H23" s="49">
        <f>+'[3]18-19 RW Catskills Monthly '!H22+'[4]del Lago Monthly FY 18-19'!H22+'[1]18 -19 Tioga Monthly '!H22+'[2]18-19 Rivers Monthly'!H22</f>
        <v>6207</v>
      </c>
      <c r="I23" s="46">
        <f>+F23/H23/31</f>
        <v>174.71787269316121</v>
      </c>
      <c r="J23" s="48"/>
      <c r="K23" s="48"/>
      <c r="L23" s="49">
        <f>+'[3]18-19 RW Catskills Monthly '!L22+'[4]del Lago Monthly FY 18-19'!L22+'[1]18 -19 Tioga Monthly '!L22+'[2]18-19 Rivers Monthly'!L22</f>
        <v>320</v>
      </c>
      <c r="M23" s="53">
        <f>+'[3]18-19 RW Catskills Monthly '!M22+'[4]del Lago Monthly FY 18-19'!M22+'[1]18 -19 Tioga Monthly '!M22+'[2]18-19 Rivers Monthly'!M22</f>
        <v>70916656.5</v>
      </c>
      <c r="N23" s="53">
        <f>+'[3]18-19 RW Catskills Monthly '!N22+'[4]del Lago Monthly FY 18-19'!N22+'[1]18 -19 Tioga Monthly '!N22+'[2]18-19 Rivers Monthly'!N22</f>
        <v>1640380</v>
      </c>
      <c r="O23" s="53">
        <f>+'[3]18-19 RW Catskills Monthly '!O22+'[4]del Lago Monthly FY 18-19'!O22+'[1]18 -19 Tioga Monthly '!O22+'[2]18-19 Rivers Monthly'!O22</f>
        <v>10465545.24</v>
      </c>
      <c r="P23" s="49"/>
      <c r="Q23" s="57">
        <f>+'[3]18-19 RW Catskills Monthly '!Q22+'[4]del Lago Monthly FY 18-19'!Q22+'[1]18 -19 Tioga Monthly '!Q22+'[2]18-19 Rivers Monthly'!Q22</f>
        <v>61</v>
      </c>
      <c r="R23" s="58">
        <f>+'[3]18-19 RW Catskills Monthly '!R22+'[4]del Lago Monthly FY 18-19'!R22+'[1]18 -19 Tioga Monthly '!R22+'[2]18-19 Rivers Monthly'!R22</f>
        <v>1247784</v>
      </c>
      <c r="S23" s="49"/>
      <c r="T23" s="53"/>
      <c r="U23"/>
      <c r="V23" s="46">
        <f>+'[3]18-19 RW Catskills Monthly '!T22+'[4]del Lago Monthly FY 18-19'!V22+'[1]18 -19 Tioga Monthly '!T22+'[2]18-19 Rivers Monthly'!T22</f>
        <v>45332018.149999999</v>
      </c>
      <c r="W23" s="30">
        <f>+'[1]18 -19 Tioga Monthly '!C44+'[2]18-19 Rivers Monthly'!C44+'[3]18-19 RW Catskills Monthly '!C44+'[4]del Lago Monthly FY 18-19'!C44</f>
        <v>30821217.318900004</v>
      </c>
      <c r="X23" s="30">
        <f>+'[1]18 -19 Tioga Monthly '!D44+'[2]18-19 Rivers Monthly'!D44+'[3]18-19 RW Catskills Monthly '!D44+'[4]del Lago Monthly FY 18-19'!D44</f>
        <v>14510800.831100002</v>
      </c>
      <c r="Y23" s="30">
        <f>+'[3]18-19 RW Catskills Monthly '!E44+'[4]del Lago Monthly FY 18-19'!E44+'[1]18 -19 Tioga Monthly '!E44+'[2]18-19 Rivers Monthly'!E44</f>
        <v>22669.809999999998</v>
      </c>
      <c r="Z23" s="54">
        <f>+'[3]18-19 RW Catskills Monthly '!F44+'[4]del Lago Monthly FY 18-19'!F44+'[1]18 -19 Tioga Monthly '!F44+'[2]18-19 Rivers Monthly'!F44</f>
        <v>1670.6599999999999</v>
      </c>
    </row>
    <row r="24" spans="1:26" x14ac:dyDescent="0.25">
      <c r="A24" s="4">
        <f t="shared" si="0"/>
        <v>43470</v>
      </c>
      <c r="C24" s="46">
        <f>+'[3]18-19 RW Catskills Monthly '!C23+'[4]del Lago Monthly FY 18-19'!C23+'[1]18 -19 Tioga Monthly '!C23+'[2]18-19 Rivers Monthly'!C23</f>
        <v>372346919.29000002</v>
      </c>
      <c r="D24" s="46">
        <f>+'[3]18-19 RW Catskills Monthly '!D23+'[4]del Lago Monthly FY 18-19'!D23+'[1]18 -19 Tioga Monthly '!D23+'[2]18-19 Rivers Monthly'!D23</f>
        <v>5732826.7999999998</v>
      </c>
      <c r="E24" s="46">
        <f>+'[3]18-19 RW Catskills Monthly '!E23+'[4]del Lago Monthly FY 18-19'!E23+'[1]18 -19 Tioga Monthly '!E23+'[2]18-19 Rivers Monthly'!E23</f>
        <v>338536500.96000004</v>
      </c>
      <c r="F24" s="46">
        <f>+'[3]18-19 RW Catskills Monthly '!F23+'[4]del Lago Monthly FY 18-19'!F23+'[1]18 -19 Tioga Monthly '!F23+'[2]18-19 Rivers Monthly'!F23</f>
        <v>28077591.530000001</v>
      </c>
      <c r="G24" s="46"/>
      <c r="H24" s="49">
        <f>+'[3]18-19 RW Catskills Monthly '!H23+'[4]del Lago Monthly FY 18-19'!H23+'[1]18 -19 Tioga Monthly '!H23+'[2]18-19 Rivers Monthly'!H23</f>
        <v>6198</v>
      </c>
      <c r="I24" s="46">
        <f>+F24/H24/31</f>
        <v>146.13242320623718</v>
      </c>
      <c r="J24" s="48"/>
      <c r="K24" s="48"/>
      <c r="L24" s="49">
        <f>+'[3]18-19 RW Catskills Monthly '!L23+'[4]del Lago Monthly FY 18-19'!L23+'[1]18 -19 Tioga Monthly '!L23+'[2]18-19 Rivers Monthly'!L23</f>
        <v>320</v>
      </c>
      <c r="M24" s="53">
        <f>+'[3]18-19 RW Catskills Monthly '!M23+'[4]del Lago Monthly FY 18-19'!M23+'[1]18 -19 Tioga Monthly '!M23+'[2]18-19 Rivers Monthly'!M23</f>
        <v>66265854.5</v>
      </c>
      <c r="N24" s="53">
        <f>+'[3]18-19 RW Catskills Monthly '!N23+'[4]del Lago Monthly FY 18-19'!N23+'[1]18 -19 Tioga Monthly '!N23+'[2]18-19 Rivers Monthly'!N23</f>
        <v>1527380</v>
      </c>
      <c r="O24" s="53">
        <f>+'[3]18-19 RW Catskills Monthly '!O23+'[4]del Lago Monthly FY 18-19'!O23+'[1]18 -19 Tioga Monthly '!O23+'[2]18-19 Rivers Monthly'!O23</f>
        <v>11637602.310000001</v>
      </c>
      <c r="P24" s="49"/>
      <c r="Q24" s="57">
        <f>+'[3]18-19 RW Catskills Monthly '!Q23+'[4]del Lago Monthly FY 18-19'!Q23+'[1]18 -19 Tioga Monthly '!Q23+'[2]18-19 Rivers Monthly'!Q23</f>
        <v>61</v>
      </c>
      <c r="R24" s="58">
        <f>+'[3]18-19 RW Catskills Monthly '!R23+'[4]del Lago Monthly FY 18-19'!R23+'[1]18 -19 Tioga Monthly '!R23+'[2]18-19 Rivers Monthly'!R23</f>
        <v>1104963</v>
      </c>
      <c r="S24" s="49"/>
      <c r="T24" s="46"/>
      <c r="U24"/>
      <c r="V24" s="46">
        <f>+'[3]18-19 RW Catskills Monthly '!T23+'[4]del Lago Monthly FY 18-19'!V23+'[1]18 -19 Tioga Monthly '!T23+'[2]18-19 Rivers Monthly'!T23</f>
        <v>40820156.840000004</v>
      </c>
      <c r="W24" s="30">
        <f>+'[1]18 -19 Tioga Monthly '!C45+'[2]18-19 Rivers Monthly'!C45+'[3]18-19 RW Catskills Monthly '!C45+'[4]del Lago Monthly FY 18-19'!C45</f>
        <v>28386994.7051</v>
      </c>
      <c r="X24" s="30">
        <f>+'[1]18 -19 Tioga Monthly '!D45+'[2]18-19 Rivers Monthly'!D45+'[3]18-19 RW Catskills Monthly '!D45+'[4]del Lago Monthly FY 18-19'!D45</f>
        <v>12433162.1349</v>
      </c>
      <c r="Y24" s="30">
        <f>+'[3]18-19 RW Catskills Monthly '!E45+'[4]del Lago Monthly FY 18-19'!E45+'[1]18 -19 Tioga Monthly '!E45+'[2]18-19 Rivers Monthly'!E45</f>
        <v>29410.42</v>
      </c>
      <c r="Z24" s="54">
        <f>+'[3]18-19 RW Catskills Monthly '!F45+'[4]del Lago Monthly FY 18-19'!F45+'[1]18 -19 Tioga Monthly '!F45+'[2]18-19 Rivers Monthly'!F45</f>
        <v>10778.25</v>
      </c>
    </row>
    <row r="25" spans="1:26" x14ac:dyDescent="0.25">
      <c r="A25" s="4">
        <f t="shared" si="0"/>
        <v>43501</v>
      </c>
      <c r="C25" s="46">
        <f>+'[3]18-19 RW Catskills Monthly '!C24+'[4]del Lago Monthly FY 18-19'!C24+'[1]18 -19 Tioga Monthly '!C24+'[2]18-19 Rivers Monthly'!C24</f>
        <v>415631501.76999998</v>
      </c>
      <c r="D25" s="46">
        <f>+'[3]18-19 RW Catskills Monthly '!D24+'[4]del Lago Monthly FY 18-19'!D24+'[1]18 -19 Tioga Monthly '!D24+'[2]18-19 Rivers Monthly'!D24</f>
        <v>6015326.0599999996</v>
      </c>
      <c r="E25" s="46">
        <f>+'[3]18-19 RW Catskills Monthly '!E24+'[4]del Lago Monthly FY 18-19'!E24+'[1]18 -19 Tioga Monthly '!E24+'[2]18-19 Rivers Monthly'!E24</f>
        <v>377781583.29999995</v>
      </c>
      <c r="F25" s="46">
        <f>+'[3]18-19 RW Catskills Monthly '!F24+'[4]del Lago Monthly FY 18-19'!F24+'[1]18 -19 Tioga Monthly '!F24+'[2]18-19 Rivers Monthly'!F24</f>
        <v>31834592.410000004</v>
      </c>
      <c r="G25" s="46"/>
      <c r="H25" s="49">
        <f>+'[3]18-19 RW Catskills Monthly '!H24+'[4]del Lago Monthly FY 18-19'!H24+'[1]18 -19 Tioga Monthly '!H24+'[2]18-19 Rivers Monthly'!H24</f>
        <v>6073</v>
      </c>
      <c r="I25" s="46">
        <f>+F25/H25/28</f>
        <v>187.21385294394395</v>
      </c>
      <c r="J25" s="48"/>
      <c r="K25" s="48"/>
      <c r="L25" s="49">
        <f>+'[3]18-19 RW Catskills Monthly '!L24+'[4]del Lago Monthly FY 18-19'!L24+'[1]18 -19 Tioga Monthly '!L24+'[2]18-19 Rivers Monthly'!L24</f>
        <v>310</v>
      </c>
      <c r="M25" s="53">
        <f>+'[3]18-19 RW Catskills Monthly '!M24+'[4]del Lago Monthly FY 18-19'!M24+'[1]18 -19 Tioga Monthly '!M24+'[2]18-19 Rivers Monthly'!M24</f>
        <v>68335783</v>
      </c>
      <c r="N25" s="53">
        <f>+'[3]18-19 RW Catskills Monthly '!N24+'[4]del Lago Monthly FY 18-19'!N24+'[1]18 -19 Tioga Monthly '!N24+'[2]18-19 Rivers Monthly'!N24</f>
        <v>1667480</v>
      </c>
      <c r="O25" s="53">
        <f>+'[3]18-19 RW Catskills Monthly '!O24+'[4]del Lago Monthly FY 18-19'!O24+'[1]18 -19 Tioga Monthly '!O24+'[2]18-19 Rivers Monthly'!O24</f>
        <v>12605422.779999999</v>
      </c>
      <c r="P25" s="49"/>
      <c r="Q25" s="57">
        <f>+'[3]18-19 RW Catskills Monthly '!Q24+'[4]del Lago Monthly FY 18-19'!Q24+'[1]18 -19 Tioga Monthly '!Q24+'[2]18-19 Rivers Monthly'!Q24</f>
        <v>61</v>
      </c>
      <c r="R25" s="58">
        <f>+'[3]18-19 RW Catskills Monthly '!R24+'[4]del Lago Monthly FY 18-19'!R24+'[1]18 -19 Tioga Monthly '!R24+'[2]18-19 Rivers Monthly'!R24</f>
        <v>1104495</v>
      </c>
      <c r="S25" s="49"/>
      <c r="T25" s="46"/>
      <c r="U25"/>
      <c r="V25" s="46">
        <f>+'[3]18-19 RW Catskills Monthly '!T24+'[4]del Lago Monthly FY 18-19'!V24+'[1]18 -19 Tioga Monthly '!T24+'[2]18-19 Rivers Monthly'!T24</f>
        <v>45544510.189999998</v>
      </c>
      <c r="W25" s="30">
        <f>+'[1]18 -19 Tioga Monthly '!C46+'[2]18-19 Rivers Monthly'!C46+'[3]18-19 RW Catskills Monthly '!C46+'[4]del Lago Monthly FY 18-19'!C46</f>
        <v>31527578.969900001</v>
      </c>
      <c r="X25" s="30">
        <f>+'[1]18 -19 Tioga Monthly '!D46+'[2]18-19 Rivers Monthly'!D46+'[3]18-19 RW Catskills Monthly '!D46+'[4]del Lago Monthly FY 18-19'!D46</f>
        <v>14016931.220100001</v>
      </c>
      <c r="Y25" s="30">
        <f>+'[3]18-19 RW Catskills Monthly '!E46+'[4]del Lago Monthly FY 18-19'!E46+'[1]18 -19 Tioga Monthly '!E46+'[2]18-19 Rivers Monthly'!E46</f>
        <v>59206.78</v>
      </c>
      <c r="Z25" s="54">
        <f>+'[3]18-19 RW Catskills Monthly '!F46+'[4]del Lago Monthly FY 18-19'!F46+'[1]18 -19 Tioga Monthly '!F46+'[2]18-19 Rivers Monthly'!F46</f>
        <v>69.72</v>
      </c>
    </row>
    <row r="26" spans="1:26" x14ac:dyDescent="0.25">
      <c r="A26" s="4">
        <f t="shared" si="0"/>
        <v>43532</v>
      </c>
      <c r="C26" s="46">
        <f>+'[3]18-19 RW Catskills Monthly '!C25+'[4]del Lago Monthly FY 18-19'!C25+'[1]18 -19 Tioga Monthly '!C25+'[2]18-19 Rivers Monthly'!C25</f>
        <v>522253113.13</v>
      </c>
      <c r="D26" s="46">
        <f>+'[3]18-19 RW Catskills Monthly '!D25+'[4]del Lago Monthly FY 18-19'!D25+'[1]18 -19 Tioga Monthly '!D25+'[2]18-19 Rivers Monthly'!D25</f>
        <v>7691930.2499999991</v>
      </c>
      <c r="E26" s="46">
        <f>+'[3]18-19 RW Catskills Monthly '!E25+'[4]del Lago Monthly FY 18-19'!E25+'[1]18 -19 Tioga Monthly '!E25+'[2]18-19 Rivers Monthly'!E25</f>
        <v>474699833.77999997</v>
      </c>
      <c r="F26" s="46">
        <f>+'[3]18-19 RW Catskills Monthly '!F25+'[4]del Lago Monthly FY 18-19'!F25+'[1]18 -19 Tioga Monthly '!F25+'[2]18-19 Rivers Monthly'!F25</f>
        <v>39861349.100000001</v>
      </c>
      <c r="G26" s="46"/>
      <c r="H26" s="49">
        <f>+'[3]18-19 RW Catskills Monthly '!H25+'[4]del Lago Monthly FY 18-19'!H25+'[1]18 -19 Tioga Monthly '!H25+'[2]18-19 Rivers Monthly'!H25</f>
        <v>6058</v>
      </c>
      <c r="I26" s="46">
        <f>+F26/H26/31</f>
        <v>212.25651551134729</v>
      </c>
      <c r="J26" s="48"/>
      <c r="K26" s="48"/>
      <c r="L26" s="49">
        <f>+'[3]18-19 RW Catskills Monthly '!L25+'[4]del Lago Monthly FY 18-19'!L25+'[1]18 -19 Tioga Monthly '!L25+'[2]18-19 Rivers Monthly'!L25</f>
        <v>309</v>
      </c>
      <c r="M26" s="53">
        <f>+'[3]18-19 RW Catskills Monthly '!M25+'[4]del Lago Monthly FY 18-19'!M25+'[1]18 -19 Tioga Monthly '!M25+'[2]18-19 Rivers Monthly'!M25</f>
        <v>82220696</v>
      </c>
      <c r="N26" s="53">
        <f>+'[3]18-19 RW Catskills Monthly '!N25+'[4]del Lago Monthly FY 18-19'!N25+'[1]18 -19 Tioga Monthly '!N25+'[2]18-19 Rivers Monthly'!N25</f>
        <v>1906950</v>
      </c>
      <c r="O26" s="53">
        <f>+'[3]18-19 RW Catskills Monthly '!O25+'[4]del Lago Monthly FY 18-19'!O25+'[1]18 -19 Tioga Monthly '!O25+'[2]18-19 Rivers Monthly'!O25</f>
        <v>15591704.24</v>
      </c>
      <c r="P26" s="49"/>
      <c r="Q26" s="57">
        <f>+'[3]18-19 RW Catskills Monthly '!Q25+'[4]del Lago Monthly FY 18-19'!Q25+'[1]18 -19 Tioga Monthly '!Q25+'[2]18-19 Rivers Monthly'!Q25</f>
        <v>61</v>
      </c>
      <c r="R26" s="58">
        <f>+'[3]18-19 RW Catskills Monthly '!R25+'[4]del Lago Monthly FY 18-19'!R25+'[1]18 -19 Tioga Monthly '!R25+'[2]18-19 Rivers Monthly'!R25</f>
        <v>1349768</v>
      </c>
      <c r="S26" s="49"/>
      <c r="T26" s="46"/>
      <c r="U26"/>
      <c r="V26" s="46">
        <f>+'[3]18-19 RW Catskills Monthly '!T25+'[4]del Lago Monthly FY 18-19'!V25+'[1]18 -19 Tioga Monthly '!T25+'[2]18-19 Rivers Monthly'!T25</f>
        <v>56802821.340000004</v>
      </c>
      <c r="W26" s="30">
        <f>+'[1]18 -19 Tioga Monthly '!C47+'[2]18-19 Rivers Monthly'!C47+'[3]18-19 RW Catskills Monthly '!C47+'[4]del Lago Monthly FY 18-19'!C47</f>
        <v>39246606.740800001</v>
      </c>
      <c r="X26" s="30">
        <f>+'[1]18 -19 Tioga Monthly '!D47+'[2]18-19 Rivers Monthly'!D47+'[3]18-19 RW Catskills Monthly '!D47+'[4]del Lago Monthly FY 18-19'!D47</f>
        <v>17556214.599199999</v>
      </c>
      <c r="Y26" s="30">
        <f>+'[3]18-19 RW Catskills Monthly '!E47+'[4]del Lago Monthly FY 18-19'!E47+'[1]18 -19 Tioga Monthly '!E47+'[2]18-19 Rivers Monthly'!E47</f>
        <v>53582.709999999992</v>
      </c>
      <c r="Z26" s="54">
        <f>+'[3]18-19 RW Catskills Monthly '!F47+'[4]del Lago Monthly FY 18-19'!F47+'[1]18 -19 Tioga Monthly '!F47+'[2]18-19 Rivers Monthly'!F47</f>
        <v>120224.19</v>
      </c>
    </row>
    <row r="27" spans="1:26" ht="15.75" thickBot="1" x14ac:dyDescent="0.3">
      <c r="A27" s="4" t="s">
        <v>22</v>
      </c>
      <c r="C27" s="50">
        <f>SUM(C15:C26)</f>
        <v>5173337424.8399992</v>
      </c>
      <c r="D27" s="50">
        <f t="shared" ref="D27:E27" si="2">SUM(D15:D26)</f>
        <v>74954549.069999993</v>
      </c>
      <c r="E27" s="50">
        <f t="shared" si="2"/>
        <v>4712090511.1399994</v>
      </c>
      <c r="F27" s="50">
        <f>SUM(F15:F26)</f>
        <v>386292364.63000005</v>
      </c>
      <c r="G27" s="50"/>
      <c r="H27" s="51">
        <f>+'[3]18-19 RW Catskills Monthly '!H26+'[4]del Lago Monthly FY 18-19'!H26+'[1]18 -19 Tioga Monthly '!H26+'[2]18-19 Rivers Monthly'!H26</f>
        <v>6184</v>
      </c>
      <c r="I27" s="52">
        <f>+F27/H27/365</f>
        <v>171.14088705718692</v>
      </c>
      <c r="J27" s="48"/>
      <c r="K27" s="46"/>
      <c r="L27" s="51">
        <f>+'[3]18-19 RW Catskills Monthly '!L26+'[4]del Lago Monthly FY 18-19'!L26+'[1]18 -19 Tioga Monthly '!L26+'[2]18-19 Rivers Monthly'!L26</f>
        <v>315</v>
      </c>
      <c r="M27" s="50">
        <f>SUM(M15:M26)</f>
        <v>893833899.56000006</v>
      </c>
      <c r="N27" s="50">
        <f t="shared" ref="N27:O27" si="3">SUM(N15:N26)</f>
        <v>23938766</v>
      </c>
      <c r="O27" s="50">
        <f t="shared" si="3"/>
        <v>153728829.09</v>
      </c>
      <c r="P27" s="46"/>
      <c r="Q27" s="51">
        <f>+'[3]18-19 RW Catskills Monthly '!Q26+'[4]del Lago Monthly FY 18-19'!Q26+'[1]18 -19 Tioga Monthly '!Q26+'[2]18-19 Rivers Monthly'!Q26</f>
        <v>61</v>
      </c>
      <c r="R27" s="50">
        <f>SUM(R15:R26)</f>
        <v>14142915.52</v>
      </c>
      <c r="S27" s="46"/>
      <c r="T27" s="50">
        <f>SUM(T15:T26)</f>
        <v>0</v>
      </c>
      <c r="U27" s="46"/>
      <c r="V27" s="50">
        <f>SUM(V15:V26)</f>
        <v>554164109.24000001</v>
      </c>
      <c r="W27" s="29">
        <f>SUM(W15:W26)</f>
        <v>383952610.66290003</v>
      </c>
      <c r="X27" s="29">
        <f>SUM(X15:X26)</f>
        <v>170211498.57710004</v>
      </c>
      <c r="Y27" s="29">
        <f>SUM(Y15:Y26)</f>
        <v>460969.68999999994</v>
      </c>
      <c r="Z27" s="45">
        <f t="shared" ref="Z27" si="4">SUM(Z15:Z26)</f>
        <v>239303.67999999999</v>
      </c>
    </row>
    <row r="28" spans="1:26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W28" s="30"/>
      <c r="X28" s="33"/>
      <c r="Y28" s="33"/>
      <c r="Z28" s="33"/>
    </row>
    <row r="29" spans="1:26" s="35" customFormat="1" x14ac:dyDescent="0.25">
      <c r="A29" s="32"/>
      <c r="B29" s="32"/>
      <c r="C29" s="33"/>
      <c r="D29" s="34">
        <f>D27/C27</f>
        <v>1.448862560367753E-2</v>
      </c>
      <c r="E29" s="34">
        <f>E27/C27</f>
        <v>0.91084151760809118</v>
      </c>
      <c r="F29" s="34">
        <f>F27/C27</f>
        <v>7.4669856788231306E-2</v>
      </c>
      <c r="G29" s="34"/>
      <c r="H29" s="33"/>
      <c r="L29" s="33"/>
      <c r="M29" s="33"/>
      <c r="N29" s="33"/>
      <c r="O29" s="33">
        <f>O27/$M$27</f>
        <v>0.17198813914495162</v>
      </c>
      <c r="P29" s="33"/>
      <c r="Q29" s="33"/>
      <c r="R29" s="33"/>
      <c r="W29" s="33">
        <f>W27/$V$27</f>
        <v>0.6928500136709792</v>
      </c>
      <c r="X29" s="33">
        <f>X27/$V$27</f>
        <v>0.30714998632902091</v>
      </c>
      <c r="Y29" s="33"/>
      <c r="Z29" s="33"/>
    </row>
    <row r="30" spans="1:26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6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65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44" t="s">
        <v>47</v>
      </c>
    </row>
    <row r="44" spans="1:27" x14ac:dyDescent="0.25">
      <c r="A44" s="44"/>
    </row>
  </sheetData>
  <mergeCells count="14">
    <mergeCell ref="A35:AA35"/>
    <mergeCell ref="A39:AA39"/>
    <mergeCell ref="A31:Z31"/>
    <mergeCell ref="A9:Z9"/>
    <mergeCell ref="C11:I11"/>
    <mergeCell ref="L11:O11"/>
    <mergeCell ref="Q11:R11"/>
    <mergeCell ref="V11:Z11"/>
    <mergeCell ref="A6:Z6"/>
    <mergeCell ref="A1:Z1"/>
    <mergeCell ref="A2:Z2"/>
    <mergeCell ref="A3:Z3"/>
    <mergeCell ref="A4:Z4"/>
    <mergeCell ref="A5:Z5"/>
  </mergeCells>
  <conditionalFormatting sqref="C20:P26">
    <cfRule type="cellIs" dxfId="5" priority="1" operator="equal">
      <formula>0</formula>
    </cfRule>
  </conditionalFormatting>
  <conditionalFormatting sqref="C15:V19 S20:V26">
    <cfRule type="cellIs" dxfId="4" priority="2" operator="equal">
      <formula>0</formula>
    </cfRule>
  </conditionalFormatting>
  <hyperlinks>
    <hyperlink ref="A5" r:id="rId1" xr:uid="{E75E64E3-5DA0-4A1A-BF51-BEC01A1EDD65}"/>
  </hyperlinks>
  <printOptions horizontalCentered="1" verticalCentered="1"/>
  <pageMargins left="0.25" right="0.25" top="0.75" bottom="0.75" header="0.3" footer="0.3"/>
  <pageSetup scale="54" fitToHeight="0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325C-A75C-47EB-A0A9-33332BD6C35C}">
  <sheetPr>
    <pageSetUpPr fitToPage="1"/>
  </sheetPr>
  <dimension ref="A1:AA45"/>
  <sheetViews>
    <sheetView topLeftCell="A24" zoomScaleNormal="100" workbookViewId="0">
      <selection activeCell="A40" sqref="A4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6.7109375" style="28" customWidth="1"/>
    <col min="6" max="6" width="15.140625" style="28" customWidth="1"/>
    <col min="7" max="7" width="1.140625" style="28" customWidth="1"/>
    <col min="8" max="8" width="11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8.28515625" style="28" customWidth="1"/>
    <col min="13" max="13" width="12.7109375" style="28" customWidth="1"/>
    <col min="14" max="14" width="12.8554687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20" width="2" style="1" customWidth="1"/>
    <col min="21" max="21" width="14.28515625" style="1" customWidth="1"/>
    <col min="22" max="22" width="12.85546875" style="1" bestFit="1" customWidth="1"/>
    <col min="23" max="23" width="14" style="1" bestFit="1" customWidth="1"/>
    <col min="24" max="24" width="10.85546875" style="1" hidden="1" customWidth="1"/>
    <col min="25" max="25" width="15.140625" style="1" bestFit="1" customWidth="1"/>
    <col min="26" max="255" width="9.140625" style="1"/>
    <col min="256" max="256" width="9.28515625" style="1" customWidth="1"/>
    <col min="257" max="257" width="1.7109375" style="1" customWidth="1"/>
    <col min="258" max="261" width="12" style="1" customWidth="1"/>
    <col min="262" max="262" width="11.85546875" style="1" customWidth="1"/>
    <col min="263" max="263" width="10.7109375" style="1" customWidth="1"/>
    <col min="264" max="264" width="10.5703125" style="1" customWidth="1"/>
    <col min="265" max="265" width="1.140625" style="1" customWidth="1"/>
    <col min="266" max="266" width="11.28515625" style="1" customWidth="1"/>
    <col min="267" max="267" width="12.7109375" style="1" customWidth="1"/>
    <col min="268" max="268" width="11.5703125" style="1" customWidth="1"/>
    <col min="269" max="269" width="12.42578125" style="1" customWidth="1"/>
    <col min="270" max="270" width="1.5703125" style="1" customWidth="1"/>
    <col min="271" max="271" width="11.42578125" style="1" customWidth="1"/>
    <col min="272" max="272" width="12.140625" style="1" customWidth="1"/>
    <col min="273" max="273" width="1.7109375" style="1" customWidth="1"/>
    <col min="274" max="274" width="13.5703125" style="1" customWidth="1"/>
    <col min="275" max="511" width="9.140625" style="1"/>
    <col min="512" max="512" width="9.28515625" style="1" customWidth="1"/>
    <col min="513" max="513" width="1.7109375" style="1" customWidth="1"/>
    <col min="514" max="517" width="12" style="1" customWidth="1"/>
    <col min="518" max="518" width="11.85546875" style="1" customWidth="1"/>
    <col min="519" max="519" width="10.7109375" style="1" customWidth="1"/>
    <col min="520" max="520" width="10.5703125" style="1" customWidth="1"/>
    <col min="521" max="521" width="1.140625" style="1" customWidth="1"/>
    <col min="522" max="522" width="11.28515625" style="1" customWidth="1"/>
    <col min="523" max="523" width="12.7109375" style="1" customWidth="1"/>
    <col min="524" max="524" width="11.5703125" style="1" customWidth="1"/>
    <col min="525" max="525" width="12.42578125" style="1" customWidth="1"/>
    <col min="526" max="526" width="1.5703125" style="1" customWidth="1"/>
    <col min="527" max="527" width="11.42578125" style="1" customWidth="1"/>
    <col min="528" max="528" width="12.140625" style="1" customWidth="1"/>
    <col min="529" max="529" width="1.7109375" style="1" customWidth="1"/>
    <col min="530" max="530" width="13.5703125" style="1" customWidth="1"/>
    <col min="531" max="767" width="9.140625" style="1"/>
    <col min="768" max="768" width="9.28515625" style="1" customWidth="1"/>
    <col min="769" max="769" width="1.7109375" style="1" customWidth="1"/>
    <col min="770" max="773" width="12" style="1" customWidth="1"/>
    <col min="774" max="774" width="11.85546875" style="1" customWidth="1"/>
    <col min="775" max="775" width="10.7109375" style="1" customWidth="1"/>
    <col min="776" max="776" width="10.5703125" style="1" customWidth="1"/>
    <col min="777" max="777" width="1.140625" style="1" customWidth="1"/>
    <col min="778" max="778" width="11.28515625" style="1" customWidth="1"/>
    <col min="779" max="779" width="12.7109375" style="1" customWidth="1"/>
    <col min="780" max="780" width="11.5703125" style="1" customWidth="1"/>
    <col min="781" max="781" width="12.42578125" style="1" customWidth="1"/>
    <col min="782" max="782" width="1.5703125" style="1" customWidth="1"/>
    <col min="783" max="783" width="11.42578125" style="1" customWidth="1"/>
    <col min="784" max="784" width="12.140625" style="1" customWidth="1"/>
    <col min="785" max="785" width="1.7109375" style="1" customWidth="1"/>
    <col min="786" max="786" width="13.5703125" style="1" customWidth="1"/>
    <col min="787" max="1023" width="9.140625" style="1"/>
    <col min="1024" max="1024" width="9.28515625" style="1" customWidth="1"/>
    <col min="1025" max="1025" width="1.7109375" style="1" customWidth="1"/>
    <col min="1026" max="1029" width="12" style="1" customWidth="1"/>
    <col min="1030" max="1030" width="11.85546875" style="1" customWidth="1"/>
    <col min="1031" max="1031" width="10.7109375" style="1" customWidth="1"/>
    <col min="1032" max="1032" width="10.5703125" style="1" customWidth="1"/>
    <col min="1033" max="1033" width="1.140625" style="1" customWidth="1"/>
    <col min="1034" max="1034" width="11.28515625" style="1" customWidth="1"/>
    <col min="1035" max="1035" width="12.7109375" style="1" customWidth="1"/>
    <col min="1036" max="1036" width="11.5703125" style="1" customWidth="1"/>
    <col min="1037" max="1037" width="12.42578125" style="1" customWidth="1"/>
    <col min="1038" max="1038" width="1.5703125" style="1" customWidth="1"/>
    <col min="1039" max="1039" width="11.42578125" style="1" customWidth="1"/>
    <col min="1040" max="1040" width="12.140625" style="1" customWidth="1"/>
    <col min="1041" max="1041" width="1.7109375" style="1" customWidth="1"/>
    <col min="1042" max="1042" width="13.5703125" style="1" customWidth="1"/>
    <col min="1043" max="1279" width="9.140625" style="1"/>
    <col min="1280" max="1280" width="9.28515625" style="1" customWidth="1"/>
    <col min="1281" max="1281" width="1.7109375" style="1" customWidth="1"/>
    <col min="1282" max="1285" width="12" style="1" customWidth="1"/>
    <col min="1286" max="1286" width="11.85546875" style="1" customWidth="1"/>
    <col min="1287" max="1287" width="10.7109375" style="1" customWidth="1"/>
    <col min="1288" max="1288" width="10.5703125" style="1" customWidth="1"/>
    <col min="1289" max="1289" width="1.140625" style="1" customWidth="1"/>
    <col min="1290" max="1290" width="11.28515625" style="1" customWidth="1"/>
    <col min="1291" max="1291" width="12.7109375" style="1" customWidth="1"/>
    <col min="1292" max="1292" width="11.5703125" style="1" customWidth="1"/>
    <col min="1293" max="1293" width="12.42578125" style="1" customWidth="1"/>
    <col min="1294" max="1294" width="1.5703125" style="1" customWidth="1"/>
    <col min="1295" max="1295" width="11.42578125" style="1" customWidth="1"/>
    <col min="1296" max="1296" width="12.140625" style="1" customWidth="1"/>
    <col min="1297" max="1297" width="1.7109375" style="1" customWidth="1"/>
    <col min="1298" max="1298" width="13.5703125" style="1" customWidth="1"/>
    <col min="1299" max="1535" width="9.140625" style="1"/>
    <col min="1536" max="1536" width="9.28515625" style="1" customWidth="1"/>
    <col min="1537" max="1537" width="1.7109375" style="1" customWidth="1"/>
    <col min="1538" max="1541" width="12" style="1" customWidth="1"/>
    <col min="1542" max="1542" width="11.85546875" style="1" customWidth="1"/>
    <col min="1543" max="1543" width="10.7109375" style="1" customWidth="1"/>
    <col min="1544" max="1544" width="10.5703125" style="1" customWidth="1"/>
    <col min="1545" max="1545" width="1.140625" style="1" customWidth="1"/>
    <col min="1546" max="1546" width="11.28515625" style="1" customWidth="1"/>
    <col min="1547" max="1547" width="12.7109375" style="1" customWidth="1"/>
    <col min="1548" max="1548" width="11.5703125" style="1" customWidth="1"/>
    <col min="1549" max="1549" width="12.42578125" style="1" customWidth="1"/>
    <col min="1550" max="1550" width="1.5703125" style="1" customWidth="1"/>
    <col min="1551" max="1551" width="11.42578125" style="1" customWidth="1"/>
    <col min="1552" max="1552" width="12.140625" style="1" customWidth="1"/>
    <col min="1553" max="1553" width="1.7109375" style="1" customWidth="1"/>
    <col min="1554" max="1554" width="13.5703125" style="1" customWidth="1"/>
    <col min="1555" max="1791" width="9.140625" style="1"/>
    <col min="1792" max="1792" width="9.28515625" style="1" customWidth="1"/>
    <col min="1793" max="1793" width="1.7109375" style="1" customWidth="1"/>
    <col min="1794" max="1797" width="12" style="1" customWidth="1"/>
    <col min="1798" max="1798" width="11.85546875" style="1" customWidth="1"/>
    <col min="1799" max="1799" width="10.7109375" style="1" customWidth="1"/>
    <col min="1800" max="1800" width="10.5703125" style="1" customWidth="1"/>
    <col min="1801" max="1801" width="1.140625" style="1" customWidth="1"/>
    <col min="1802" max="1802" width="11.28515625" style="1" customWidth="1"/>
    <col min="1803" max="1803" width="12.7109375" style="1" customWidth="1"/>
    <col min="1804" max="1804" width="11.5703125" style="1" customWidth="1"/>
    <col min="1805" max="1805" width="12.42578125" style="1" customWidth="1"/>
    <col min="1806" max="1806" width="1.5703125" style="1" customWidth="1"/>
    <col min="1807" max="1807" width="11.42578125" style="1" customWidth="1"/>
    <col min="1808" max="1808" width="12.140625" style="1" customWidth="1"/>
    <col min="1809" max="1809" width="1.7109375" style="1" customWidth="1"/>
    <col min="1810" max="1810" width="13.5703125" style="1" customWidth="1"/>
    <col min="1811" max="2047" width="9.140625" style="1"/>
    <col min="2048" max="2048" width="9.28515625" style="1" customWidth="1"/>
    <col min="2049" max="2049" width="1.7109375" style="1" customWidth="1"/>
    <col min="2050" max="2053" width="12" style="1" customWidth="1"/>
    <col min="2054" max="2054" width="11.85546875" style="1" customWidth="1"/>
    <col min="2055" max="2055" width="10.7109375" style="1" customWidth="1"/>
    <col min="2056" max="2056" width="10.5703125" style="1" customWidth="1"/>
    <col min="2057" max="2057" width="1.140625" style="1" customWidth="1"/>
    <col min="2058" max="2058" width="11.28515625" style="1" customWidth="1"/>
    <col min="2059" max="2059" width="12.7109375" style="1" customWidth="1"/>
    <col min="2060" max="2060" width="11.5703125" style="1" customWidth="1"/>
    <col min="2061" max="2061" width="12.42578125" style="1" customWidth="1"/>
    <col min="2062" max="2062" width="1.5703125" style="1" customWidth="1"/>
    <col min="2063" max="2063" width="11.42578125" style="1" customWidth="1"/>
    <col min="2064" max="2064" width="12.140625" style="1" customWidth="1"/>
    <col min="2065" max="2065" width="1.7109375" style="1" customWidth="1"/>
    <col min="2066" max="2066" width="13.5703125" style="1" customWidth="1"/>
    <col min="2067" max="2303" width="9.140625" style="1"/>
    <col min="2304" max="2304" width="9.28515625" style="1" customWidth="1"/>
    <col min="2305" max="2305" width="1.7109375" style="1" customWidth="1"/>
    <col min="2306" max="2309" width="12" style="1" customWidth="1"/>
    <col min="2310" max="2310" width="11.85546875" style="1" customWidth="1"/>
    <col min="2311" max="2311" width="10.7109375" style="1" customWidth="1"/>
    <col min="2312" max="2312" width="10.5703125" style="1" customWidth="1"/>
    <col min="2313" max="2313" width="1.140625" style="1" customWidth="1"/>
    <col min="2314" max="2314" width="11.28515625" style="1" customWidth="1"/>
    <col min="2315" max="2315" width="12.7109375" style="1" customWidth="1"/>
    <col min="2316" max="2316" width="11.5703125" style="1" customWidth="1"/>
    <col min="2317" max="2317" width="12.42578125" style="1" customWidth="1"/>
    <col min="2318" max="2318" width="1.5703125" style="1" customWidth="1"/>
    <col min="2319" max="2319" width="11.42578125" style="1" customWidth="1"/>
    <col min="2320" max="2320" width="12.140625" style="1" customWidth="1"/>
    <col min="2321" max="2321" width="1.7109375" style="1" customWidth="1"/>
    <col min="2322" max="2322" width="13.5703125" style="1" customWidth="1"/>
    <col min="2323" max="2559" width="9.140625" style="1"/>
    <col min="2560" max="2560" width="9.28515625" style="1" customWidth="1"/>
    <col min="2561" max="2561" width="1.7109375" style="1" customWidth="1"/>
    <col min="2562" max="2565" width="12" style="1" customWidth="1"/>
    <col min="2566" max="2566" width="11.85546875" style="1" customWidth="1"/>
    <col min="2567" max="2567" width="10.7109375" style="1" customWidth="1"/>
    <col min="2568" max="2568" width="10.5703125" style="1" customWidth="1"/>
    <col min="2569" max="2569" width="1.140625" style="1" customWidth="1"/>
    <col min="2570" max="2570" width="11.28515625" style="1" customWidth="1"/>
    <col min="2571" max="2571" width="12.7109375" style="1" customWidth="1"/>
    <col min="2572" max="2572" width="11.5703125" style="1" customWidth="1"/>
    <col min="2573" max="2573" width="12.42578125" style="1" customWidth="1"/>
    <col min="2574" max="2574" width="1.5703125" style="1" customWidth="1"/>
    <col min="2575" max="2575" width="11.42578125" style="1" customWidth="1"/>
    <col min="2576" max="2576" width="12.140625" style="1" customWidth="1"/>
    <col min="2577" max="2577" width="1.7109375" style="1" customWidth="1"/>
    <col min="2578" max="2578" width="13.5703125" style="1" customWidth="1"/>
    <col min="2579" max="2815" width="9.140625" style="1"/>
    <col min="2816" max="2816" width="9.28515625" style="1" customWidth="1"/>
    <col min="2817" max="2817" width="1.7109375" style="1" customWidth="1"/>
    <col min="2818" max="2821" width="12" style="1" customWidth="1"/>
    <col min="2822" max="2822" width="11.85546875" style="1" customWidth="1"/>
    <col min="2823" max="2823" width="10.7109375" style="1" customWidth="1"/>
    <col min="2824" max="2824" width="10.5703125" style="1" customWidth="1"/>
    <col min="2825" max="2825" width="1.140625" style="1" customWidth="1"/>
    <col min="2826" max="2826" width="11.28515625" style="1" customWidth="1"/>
    <col min="2827" max="2827" width="12.7109375" style="1" customWidth="1"/>
    <col min="2828" max="2828" width="11.5703125" style="1" customWidth="1"/>
    <col min="2829" max="2829" width="12.42578125" style="1" customWidth="1"/>
    <col min="2830" max="2830" width="1.5703125" style="1" customWidth="1"/>
    <col min="2831" max="2831" width="11.42578125" style="1" customWidth="1"/>
    <col min="2832" max="2832" width="12.140625" style="1" customWidth="1"/>
    <col min="2833" max="2833" width="1.7109375" style="1" customWidth="1"/>
    <col min="2834" max="2834" width="13.5703125" style="1" customWidth="1"/>
    <col min="2835" max="3071" width="9.140625" style="1"/>
    <col min="3072" max="3072" width="9.28515625" style="1" customWidth="1"/>
    <col min="3073" max="3073" width="1.7109375" style="1" customWidth="1"/>
    <col min="3074" max="3077" width="12" style="1" customWidth="1"/>
    <col min="3078" max="3078" width="11.85546875" style="1" customWidth="1"/>
    <col min="3079" max="3079" width="10.7109375" style="1" customWidth="1"/>
    <col min="3080" max="3080" width="10.5703125" style="1" customWidth="1"/>
    <col min="3081" max="3081" width="1.140625" style="1" customWidth="1"/>
    <col min="3082" max="3082" width="11.28515625" style="1" customWidth="1"/>
    <col min="3083" max="3083" width="12.7109375" style="1" customWidth="1"/>
    <col min="3084" max="3084" width="11.5703125" style="1" customWidth="1"/>
    <col min="3085" max="3085" width="12.42578125" style="1" customWidth="1"/>
    <col min="3086" max="3086" width="1.5703125" style="1" customWidth="1"/>
    <col min="3087" max="3087" width="11.42578125" style="1" customWidth="1"/>
    <col min="3088" max="3088" width="12.140625" style="1" customWidth="1"/>
    <col min="3089" max="3089" width="1.7109375" style="1" customWidth="1"/>
    <col min="3090" max="3090" width="13.5703125" style="1" customWidth="1"/>
    <col min="3091" max="3327" width="9.140625" style="1"/>
    <col min="3328" max="3328" width="9.28515625" style="1" customWidth="1"/>
    <col min="3329" max="3329" width="1.7109375" style="1" customWidth="1"/>
    <col min="3330" max="3333" width="12" style="1" customWidth="1"/>
    <col min="3334" max="3334" width="11.85546875" style="1" customWidth="1"/>
    <col min="3335" max="3335" width="10.7109375" style="1" customWidth="1"/>
    <col min="3336" max="3336" width="10.5703125" style="1" customWidth="1"/>
    <col min="3337" max="3337" width="1.140625" style="1" customWidth="1"/>
    <col min="3338" max="3338" width="11.28515625" style="1" customWidth="1"/>
    <col min="3339" max="3339" width="12.7109375" style="1" customWidth="1"/>
    <col min="3340" max="3340" width="11.5703125" style="1" customWidth="1"/>
    <col min="3341" max="3341" width="12.42578125" style="1" customWidth="1"/>
    <col min="3342" max="3342" width="1.5703125" style="1" customWidth="1"/>
    <col min="3343" max="3343" width="11.42578125" style="1" customWidth="1"/>
    <col min="3344" max="3344" width="12.140625" style="1" customWidth="1"/>
    <col min="3345" max="3345" width="1.7109375" style="1" customWidth="1"/>
    <col min="3346" max="3346" width="13.5703125" style="1" customWidth="1"/>
    <col min="3347" max="3583" width="9.140625" style="1"/>
    <col min="3584" max="3584" width="9.28515625" style="1" customWidth="1"/>
    <col min="3585" max="3585" width="1.7109375" style="1" customWidth="1"/>
    <col min="3586" max="3589" width="12" style="1" customWidth="1"/>
    <col min="3590" max="3590" width="11.85546875" style="1" customWidth="1"/>
    <col min="3591" max="3591" width="10.7109375" style="1" customWidth="1"/>
    <col min="3592" max="3592" width="10.5703125" style="1" customWidth="1"/>
    <col min="3593" max="3593" width="1.140625" style="1" customWidth="1"/>
    <col min="3594" max="3594" width="11.28515625" style="1" customWidth="1"/>
    <col min="3595" max="3595" width="12.7109375" style="1" customWidth="1"/>
    <col min="3596" max="3596" width="11.5703125" style="1" customWidth="1"/>
    <col min="3597" max="3597" width="12.42578125" style="1" customWidth="1"/>
    <col min="3598" max="3598" width="1.5703125" style="1" customWidth="1"/>
    <col min="3599" max="3599" width="11.42578125" style="1" customWidth="1"/>
    <col min="3600" max="3600" width="12.140625" style="1" customWidth="1"/>
    <col min="3601" max="3601" width="1.7109375" style="1" customWidth="1"/>
    <col min="3602" max="3602" width="13.5703125" style="1" customWidth="1"/>
    <col min="3603" max="3839" width="9.140625" style="1"/>
    <col min="3840" max="3840" width="9.28515625" style="1" customWidth="1"/>
    <col min="3841" max="3841" width="1.7109375" style="1" customWidth="1"/>
    <col min="3842" max="3845" width="12" style="1" customWidth="1"/>
    <col min="3846" max="3846" width="11.85546875" style="1" customWidth="1"/>
    <col min="3847" max="3847" width="10.7109375" style="1" customWidth="1"/>
    <col min="3848" max="3848" width="10.5703125" style="1" customWidth="1"/>
    <col min="3849" max="3849" width="1.140625" style="1" customWidth="1"/>
    <col min="3850" max="3850" width="11.28515625" style="1" customWidth="1"/>
    <col min="3851" max="3851" width="12.7109375" style="1" customWidth="1"/>
    <col min="3852" max="3852" width="11.5703125" style="1" customWidth="1"/>
    <col min="3853" max="3853" width="12.42578125" style="1" customWidth="1"/>
    <col min="3854" max="3854" width="1.5703125" style="1" customWidth="1"/>
    <col min="3855" max="3855" width="11.42578125" style="1" customWidth="1"/>
    <col min="3856" max="3856" width="12.140625" style="1" customWidth="1"/>
    <col min="3857" max="3857" width="1.7109375" style="1" customWidth="1"/>
    <col min="3858" max="3858" width="13.5703125" style="1" customWidth="1"/>
    <col min="3859" max="4095" width="9.140625" style="1"/>
    <col min="4096" max="4096" width="9.28515625" style="1" customWidth="1"/>
    <col min="4097" max="4097" width="1.7109375" style="1" customWidth="1"/>
    <col min="4098" max="4101" width="12" style="1" customWidth="1"/>
    <col min="4102" max="4102" width="11.85546875" style="1" customWidth="1"/>
    <col min="4103" max="4103" width="10.7109375" style="1" customWidth="1"/>
    <col min="4104" max="4104" width="10.5703125" style="1" customWidth="1"/>
    <col min="4105" max="4105" width="1.140625" style="1" customWidth="1"/>
    <col min="4106" max="4106" width="11.28515625" style="1" customWidth="1"/>
    <col min="4107" max="4107" width="12.7109375" style="1" customWidth="1"/>
    <col min="4108" max="4108" width="11.5703125" style="1" customWidth="1"/>
    <col min="4109" max="4109" width="12.42578125" style="1" customWidth="1"/>
    <col min="4110" max="4110" width="1.5703125" style="1" customWidth="1"/>
    <col min="4111" max="4111" width="11.42578125" style="1" customWidth="1"/>
    <col min="4112" max="4112" width="12.140625" style="1" customWidth="1"/>
    <col min="4113" max="4113" width="1.7109375" style="1" customWidth="1"/>
    <col min="4114" max="4114" width="13.5703125" style="1" customWidth="1"/>
    <col min="4115" max="4351" width="9.140625" style="1"/>
    <col min="4352" max="4352" width="9.28515625" style="1" customWidth="1"/>
    <col min="4353" max="4353" width="1.7109375" style="1" customWidth="1"/>
    <col min="4354" max="4357" width="12" style="1" customWidth="1"/>
    <col min="4358" max="4358" width="11.85546875" style="1" customWidth="1"/>
    <col min="4359" max="4359" width="10.7109375" style="1" customWidth="1"/>
    <col min="4360" max="4360" width="10.5703125" style="1" customWidth="1"/>
    <col min="4361" max="4361" width="1.140625" style="1" customWidth="1"/>
    <col min="4362" max="4362" width="11.28515625" style="1" customWidth="1"/>
    <col min="4363" max="4363" width="12.7109375" style="1" customWidth="1"/>
    <col min="4364" max="4364" width="11.5703125" style="1" customWidth="1"/>
    <col min="4365" max="4365" width="12.42578125" style="1" customWidth="1"/>
    <col min="4366" max="4366" width="1.5703125" style="1" customWidth="1"/>
    <col min="4367" max="4367" width="11.42578125" style="1" customWidth="1"/>
    <col min="4368" max="4368" width="12.140625" style="1" customWidth="1"/>
    <col min="4369" max="4369" width="1.7109375" style="1" customWidth="1"/>
    <col min="4370" max="4370" width="13.5703125" style="1" customWidth="1"/>
    <col min="4371" max="4607" width="9.140625" style="1"/>
    <col min="4608" max="4608" width="9.28515625" style="1" customWidth="1"/>
    <col min="4609" max="4609" width="1.7109375" style="1" customWidth="1"/>
    <col min="4610" max="4613" width="12" style="1" customWidth="1"/>
    <col min="4614" max="4614" width="11.85546875" style="1" customWidth="1"/>
    <col min="4615" max="4615" width="10.7109375" style="1" customWidth="1"/>
    <col min="4616" max="4616" width="10.5703125" style="1" customWidth="1"/>
    <col min="4617" max="4617" width="1.140625" style="1" customWidth="1"/>
    <col min="4618" max="4618" width="11.28515625" style="1" customWidth="1"/>
    <col min="4619" max="4619" width="12.7109375" style="1" customWidth="1"/>
    <col min="4620" max="4620" width="11.5703125" style="1" customWidth="1"/>
    <col min="4621" max="4621" width="12.42578125" style="1" customWidth="1"/>
    <col min="4622" max="4622" width="1.5703125" style="1" customWidth="1"/>
    <col min="4623" max="4623" width="11.42578125" style="1" customWidth="1"/>
    <col min="4624" max="4624" width="12.140625" style="1" customWidth="1"/>
    <col min="4625" max="4625" width="1.7109375" style="1" customWidth="1"/>
    <col min="4626" max="4626" width="13.5703125" style="1" customWidth="1"/>
    <col min="4627" max="4863" width="9.140625" style="1"/>
    <col min="4864" max="4864" width="9.28515625" style="1" customWidth="1"/>
    <col min="4865" max="4865" width="1.7109375" style="1" customWidth="1"/>
    <col min="4866" max="4869" width="12" style="1" customWidth="1"/>
    <col min="4870" max="4870" width="11.85546875" style="1" customWidth="1"/>
    <col min="4871" max="4871" width="10.7109375" style="1" customWidth="1"/>
    <col min="4872" max="4872" width="10.5703125" style="1" customWidth="1"/>
    <col min="4873" max="4873" width="1.140625" style="1" customWidth="1"/>
    <col min="4874" max="4874" width="11.28515625" style="1" customWidth="1"/>
    <col min="4875" max="4875" width="12.7109375" style="1" customWidth="1"/>
    <col min="4876" max="4876" width="11.5703125" style="1" customWidth="1"/>
    <col min="4877" max="4877" width="12.42578125" style="1" customWidth="1"/>
    <col min="4878" max="4878" width="1.5703125" style="1" customWidth="1"/>
    <col min="4879" max="4879" width="11.42578125" style="1" customWidth="1"/>
    <col min="4880" max="4880" width="12.140625" style="1" customWidth="1"/>
    <col min="4881" max="4881" width="1.7109375" style="1" customWidth="1"/>
    <col min="4882" max="4882" width="13.5703125" style="1" customWidth="1"/>
    <col min="4883" max="5119" width="9.140625" style="1"/>
    <col min="5120" max="5120" width="9.28515625" style="1" customWidth="1"/>
    <col min="5121" max="5121" width="1.7109375" style="1" customWidth="1"/>
    <col min="5122" max="5125" width="12" style="1" customWidth="1"/>
    <col min="5126" max="5126" width="11.85546875" style="1" customWidth="1"/>
    <col min="5127" max="5127" width="10.7109375" style="1" customWidth="1"/>
    <col min="5128" max="5128" width="10.5703125" style="1" customWidth="1"/>
    <col min="5129" max="5129" width="1.140625" style="1" customWidth="1"/>
    <col min="5130" max="5130" width="11.28515625" style="1" customWidth="1"/>
    <col min="5131" max="5131" width="12.7109375" style="1" customWidth="1"/>
    <col min="5132" max="5132" width="11.5703125" style="1" customWidth="1"/>
    <col min="5133" max="5133" width="12.42578125" style="1" customWidth="1"/>
    <col min="5134" max="5134" width="1.5703125" style="1" customWidth="1"/>
    <col min="5135" max="5135" width="11.42578125" style="1" customWidth="1"/>
    <col min="5136" max="5136" width="12.140625" style="1" customWidth="1"/>
    <col min="5137" max="5137" width="1.7109375" style="1" customWidth="1"/>
    <col min="5138" max="5138" width="13.5703125" style="1" customWidth="1"/>
    <col min="5139" max="5375" width="9.140625" style="1"/>
    <col min="5376" max="5376" width="9.28515625" style="1" customWidth="1"/>
    <col min="5377" max="5377" width="1.7109375" style="1" customWidth="1"/>
    <col min="5378" max="5381" width="12" style="1" customWidth="1"/>
    <col min="5382" max="5382" width="11.85546875" style="1" customWidth="1"/>
    <col min="5383" max="5383" width="10.7109375" style="1" customWidth="1"/>
    <col min="5384" max="5384" width="10.5703125" style="1" customWidth="1"/>
    <col min="5385" max="5385" width="1.140625" style="1" customWidth="1"/>
    <col min="5386" max="5386" width="11.28515625" style="1" customWidth="1"/>
    <col min="5387" max="5387" width="12.7109375" style="1" customWidth="1"/>
    <col min="5388" max="5388" width="11.5703125" style="1" customWidth="1"/>
    <col min="5389" max="5389" width="12.42578125" style="1" customWidth="1"/>
    <col min="5390" max="5390" width="1.5703125" style="1" customWidth="1"/>
    <col min="5391" max="5391" width="11.42578125" style="1" customWidth="1"/>
    <col min="5392" max="5392" width="12.140625" style="1" customWidth="1"/>
    <col min="5393" max="5393" width="1.7109375" style="1" customWidth="1"/>
    <col min="5394" max="5394" width="13.5703125" style="1" customWidth="1"/>
    <col min="5395" max="5631" width="9.140625" style="1"/>
    <col min="5632" max="5632" width="9.28515625" style="1" customWidth="1"/>
    <col min="5633" max="5633" width="1.7109375" style="1" customWidth="1"/>
    <col min="5634" max="5637" width="12" style="1" customWidth="1"/>
    <col min="5638" max="5638" width="11.85546875" style="1" customWidth="1"/>
    <col min="5639" max="5639" width="10.7109375" style="1" customWidth="1"/>
    <col min="5640" max="5640" width="10.5703125" style="1" customWidth="1"/>
    <col min="5641" max="5641" width="1.140625" style="1" customWidth="1"/>
    <col min="5642" max="5642" width="11.28515625" style="1" customWidth="1"/>
    <col min="5643" max="5643" width="12.7109375" style="1" customWidth="1"/>
    <col min="5644" max="5644" width="11.5703125" style="1" customWidth="1"/>
    <col min="5645" max="5645" width="12.42578125" style="1" customWidth="1"/>
    <col min="5646" max="5646" width="1.5703125" style="1" customWidth="1"/>
    <col min="5647" max="5647" width="11.42578125" style="1" customWidth="1"/>
    <col min="5648" max="5648" width="12.140625" style="1" customWidth="1"/>
    <col min="5649" max="5649" width="1.7109375" style="1" customWidth="1"/>
    <col min="5650" max="5650" width="13.5703125" style="1" customWidth="1"/>
    <col min="5651" max="5887" width="9.140625" style="1"/>
    <col min="5888" max="5888" width="9.28515625" style="1" customWidth="1"/>
    <col min="5889" max="5889" width="1.7109375" style="1" customWidth="1"/>
    <col min="5890" max="5893" width="12" style="1" customWidth="1"/>
    <col min="5894" max="5894" width="11.85546875" style="1" customWidth="1"/>
    <col min="5895" max="5895" width="10.7109375" style="1" customWidth="1"/>
    <col min="5896" max="5896" width="10.5703125" style="1" customWidth="1"/>
    <col min="5897" max="5897" width="1.140625" style="1" customWidth="1"/>
    <col min="5898" max="5898" width="11.28515625" style="1" customWidth="1"/>
    <col min="5899" max="5899" width="12.7109375" style="1" customWidth="1"/>
    <col min="5900" max="5900" width="11.5703125" style="1" customWidth="1"/>
    <col min="5901" max="5901" width="12.42578125" style="1" customWidth="1"/>
    <col min="5902" max="5902" width="1.5703125" style="1" customWidth="1"/>
    <col min="5903" max="5903" width="11.42578125" style="1" customWidth="1"/>
    <col min="5904" max="5904" width="12.140625" style="1" customWidth="1"/>
    <col min="5905" max="5905" width="1.7109375" style="1" customWidth="1"/>
    <col min="5906" max="5906" width="13.5703125" style="1" customWidth="1"/>
    <col min="5907" max="6143" width="9.140625" style="1"/>
    <col min="6144" max="6144" width="9.28515625" style="1" customWidth="1"/>
    <col min="6145" max="6145" width="1.7109375" style="1" customWidth="1"/>
    <col min="6146" max="6149" width="12" style="1" customWidth="1"/>
    <col min="6150" max="6150" width="11.85546875" style="1" customWidth="1"/>
    <col min="6151" max="6151" width="10.7109375" style="1" customWidth="1"/>
    <col min="6152" max="6152" width="10.5703125" style="1" customWidth="1"/>
    <col min="6153" max="6153" width="1.140625" style="1" customWidth="1"/>
    <col min="6154" max="6154" width="11.28515625" style="1" customWidth="1"/>
    <col min="6155" max="6155" width="12.7109375" style="1" customWidth="1"/>
    <col min="6156" max="6156" width="11.5703125" style="1" customWidth="1"/>
    <col min="6157" max="6157" width="12.42578125" style="1" customWidth="1"/>
    <col min="6158" max="6158" width="1.5703125" style="1" customWidth="1"/>
    <col min="6159" max="6159" width="11.42578125" style="1" customWidth="1"/>
    <col min="6160" max="6160" width="12.140625" style="1" customWidth="1"/>
    <col min="6161" max="6161" width="1.7109375" style="1" customWidth="1"/>
    <col min="6162" max="6162" width="13.5703125" style="1" customWidth="1"/>
    <col min="6163" max="6399" width="9.140625" style="1"/>
    <col min="6400" max="6400" width="9.28515625" style="1" customWidth="1"/>
    <col min="6401" max="6401" width="1.7109375" style="1" customWidth="1"/>
    <col min="6402" max="6405" width="12" style="1" customWidth="1"/>
    <col min="6406" max="6406" width="11.85546875" style="1" customWidth="1"/>
    <col min="6407" max="6407" width="10.7109375" style="1" customWidth="1"/>
    <col min="6408" max="6408" width="10.5703125" style="1" customWidth="1"/>
    <col min="6409" max="6409" width="1.140625" style="1" customWidth="1"/>
    <col min="6410" max="6410" width="11.28515625" style="1" customWidth="1"/>
    <col min="6411" max="6411" width="12.7109375" style="1" customWidth="1"/>
    <col min="6412" max="6412" width="11.5703125" style="1" customWidth="1"/>
    <col min="6413" max="6413" width="12.42578125" style="1" customWidth="1"/>
    <col min="6414" max="6414" width="1.5703125" style="1" customWidth="1"/>
    <col min="6415" max="6415" width="11.42578125" style="1" customWidth="1"/>
    <col min="6416" max="6416" width="12.140625" style="1" customWidth="1"/>
    <col min="6417" max="6417" width="1.7109375" style="1" customWidth="1"/>
    <col min="6418" max="6418" width="13.5703125" style="1" customWidth="1"/>
    <col min="6419" max="6655" width="9.140625" style="1"/>
    <col min="6656" max="6656" width="9.28515625" style="1" customWidth="1"/>
    <col min="6657" max="6657" width="1.7109375" style="1" customWidth="1"/>
    <col min="6658" max="6661" width="12" style="1" customWidth="1"/>
    <col min="6662" max="6662" width="11.85546875" style="1" customWidth="1"/>
    <col min="6663" max="6663" width="10.7109375" style="1" customWidth="1"/>
    <col min="6664" max="6664" width="10.5703125" style="1" customWidth="1"/>
    <col min="6665" max="6665" width="1.140625" style="1" customWidth="1"/>
    <col min="6666" max="6666" width="11.28515625" style="1" customWidth="1"/>
    <col min="6667" max="6667" width="12.7109375" style="1" customWidth="1"/>
    <col min="6668" max="6668" width="11.5703125" style="1" customWidth="1"/>
    <col min="6669" max="6669" width="12.42578125" style="1" customWidth="1"/>
    <col min="6670" max="6670" width="1.5703125" style="1" customWidth="1"/>
    <col min="6671" max="6671" width="11.42578125" style="1" customWidth="1"/>
    <col min="6672" max="6672" width="12.140625" style="1" customWidth="1"/>
    <col min="6673" max="6673" width="1.7109375" style="1" customWidth="1"/>
    <col min="6674" max="6674" width="13.5703125" style="1" customWidth="1"/>
    <col min="6675" max="6911" width="9.140625" style="1"/>
    <col min="6912" max="6912" width="9.28515625" style="1" customWidth="1"/>
    <col min="6913" max="6913" width="1.7109375" style="1" customWidth="1"/>
    <col min="6914" max="6917" width="12" style="1" customWidth="1"/>
    <col min="6918" max="6918" width="11.85546875" style="1" customWidth="1"/>
    <col min="6919" max="6919" width="10.7109375" style="1" customWidth="1"/>
    <col min="6920" max="6920" width="10.5703125" style="1" customWidth="1"/>
    <col min="6921" max="6921" width="1.140625" style="1" customWidth="1"/>
    <col min="6922" max="6922" width="11.28515625" style="1" customWidth="1"/>
    <col min="6923" max="6923" width="12.7109375" style="1" customWidth="1"/>
    <col min="6924" max="6924" width="11.5703125" style="1" customWidth="1"/>
    <col min="6925" max="6925" width="12.42578125" style="1" customWidth="1"/>
    <col min="6926" max="6926" width="1.5703125" style="1" customWidth="1"/>
    <col min="6927" max="6927" width="11.42578125" style="1" customWidth="1"/>
    <col min="6928" max="6928" width="12.140625" style="1" customWidth="1"/>
    <col min="6929" max="6929" width="1.7109375" style="1" customWidth="1"/>
    <col min="6930" max="6930" width="13.5703125" style="1" customWidth="1"/>
    <col min="6931" max="7167" width="9.140625" style="1"/>
    <col min="7168" max="7168" width="9.28515625" style="1" customWidth="1"/>
    <col min="7169" max="7169" width="1.7109375" style="1" customWidth="1"/>
    <col min="7170" max="7173" width="12" style="1" customWidth="1"/>
    <col min="7174" max="7174" width="11.85546875" style="1" customWidth="1"/>
    <col min="7175" max="7175" width="10.7109375" style="1" customWidth="1"/>
    <col min="7176" max="7176" width="10.5703125" style="1" customWidth="1"/>
    <col min="7177" max="7177" width="1.140625" style="1" customWidth="1"/>
    <col min="7178" max="7178" width="11.28515625" style="1" customWidth="1"/>
    <col min="7179" max="7179" width="12.7109375" style="1" customWidth="1"/>
    <col min="7180" max="7180" width="11.5703125" style="1" customWidth="1"/>
    <col min="7181" max="7181" width="12.42578125" style="1" customWidth="1"/>
    <col min="7182" max="7182" width="1.5703125" style="1" customWidth="1"/>
    <col min="7183" max="7183" width="11.42578125" style="1" customWidth="1"/>
    <col min="7184" max="7184" width="12.140625" style="1" customWidth="1"/>
    <col min="7185" max="7185" width="1.7109375" style="1" customWidth="1"/>
    <col min="7186" max="7186" width="13.5703125" style="1" customWidth="1"/>
    <col min="7187" max="7423" width="9.140625" style="1"/>
    <col min="7424" max="7424" width="9.28515625" style="1" customWidth="1"/>
    <col min="7425" max="7425" width="1.7109375" style="1" customWidth="1"/>
    <col min="7426" max="7429" width="12" style="1" customWidth="1"/>
    <col min="7430" max="7430" width="11.85546875" style="1" customWidth="1"/>
    <col min="7431" max="7431" width="10.7109375" style="1" customWidth="1"/>
    <col min="7432" max="7432" width="10.5703125" style="1" customWidth="1"/>
    <col min="7433" max="7433" width="1.140625" style="1" customWidth="1"/>
    <col min="7434" max="7434" width="11.28515625" style="1" customWidth="1"/>
    <col min="7435" max="7435" width="12.7109375" style="1" customWidth="1"/>
    <col min="7436" max="7436" width="11.5703125" style="1" customWidth="1"/>
    <col min="7437" max="7437" width="12.42578125" style="1" customWidth="1"/>
    <col min="7438" max="7438" width="1.5703125" style="1" customWidth="1"/>
    <col min="7439" max="7439" width="11.42578125" style="1" customWidth="1"/>
    <col min="7440" max="7440" width="12.140625" style="1" customWidth="1"/>
    <col min="7441" max="7441" width="1.7109375" style="1" customWidth="1"/>
    <col min="7442" max="7442" width="13.5703125" style="1" customWidth="1"/>
    <col min="7443" max="7679" width="9.140625" style="1"/>
    <col min="7680" max="7680" width="9.28515625" style="1" customWidth="1"/>
    <col min="7681" max="7681" width="1.7109375" style="1" customWidth="1"/>
    <col min="7682" max="7685" width="12" style="1" customWidth="1"/>
    <col min="7686" max="7686" width="11.85546875" style="1" customWidth="1"/>
    <col min="7687" max="7687" width="10.7109375" style="1" customWidth="1"/>
    <col min="7688" max="7688" width="10.5703125" style="1" customWidth="1"/>
    <col min="7689" max="7689" width="1.140625" style="1" customWidth="1"/>
    <col min="7690" max="7690" width="11.28515625" style="1" customWidth="1"/>
    <col min="7691" max="7691" width="12.7109375" style="1" customWidth="1"/>
    <col min="7692" max="7692" width="11.5703125" style="1" customWidth="1"/>
    <col min="7693" max="7693" width="12.42578125" style="1" customWidth="1"/>
    <col min="7694" max="7694" width="1.5703125" style="1" customWidth="1"/>
    <col min="7695" max="7695" width="11.42578125" style="1" customWidth="1"/>
    <col min="7696" max="7696" width="12.140625" style="1" customWidth="1"/>
    <col min="7697" max="7697" width="1.7109375" style="1" customWidth="1"/>
    <col min="7698" max="7698" width="13.5703125" style="1" customWidth="1"/>
    <col min="7699" max="7935" width="9.140625" style="1"/>
    <col min="7936" max="7936" width="9.28515625" style="1" customWidth="1"/>
    <col min="7937" max="7937" width="1.7109375" style="1" customWidth="1"/>
    <col min="7938" max="7941" width="12" style="1" customWidth="1"/>
    <col min="7942" max="7942" width="11.85546875" style="1" customWidth="1"/>
    <col min="7943" max="7943" width="10.7109375" style="1" customWidth="1"/>
    <col min="7944" max="7944" width="10.5703125" style="1" customWidth="1"/>
    <col min="7945" max="7945" width="1.140625" style="1" customWidth="1"/>
    <col min="7946" max="7946" width="11.28515625" style="1" customWidth="1"/>
    <col min="7947" max="7947" width="12.7109375" style="1" customWidth="1"/>
    <col min="7948" max="7948" width="11.5703125" style="1" customWidth="1"/>
    <col min="7949" max="7949" width="12.42578125" style="1" customWidth="1"/>
    <col min="7950" max="7950" width="1.5703125" style="1" customWidth="1"/>
    <col min="7951" max="7951" width="11.42578125" style="1" customWidth="1"/>
    <col min="7952" max="7952" width="12.140625" style="1" customWidth="1"/>
    <col min="7953" max="7953" width="1.7109375" style="1" customWidth="1"/>
    <col min="7954" max="7954" width="13.5703125" style="1" customWidth="1"/>
    <col min="7955" max="8191" width="9.140625" style="1"/>
    <col min="8192" max="8192" width="9.28515625" style="1" customWidth="1"/>
    <col min="8193" max="8193" width="1.7109375" style="1" customWidth="1"/>
    <col min="8194" max="8197" width="12" style="1" customWidth="1"/>
    <col min="8198" max="8198" width="11.85546875" style="1" customWidth="1"/>
    <col min="8199" max="8199" width="10.7109375" style="1" customWidth="1"/>
    <col min="8200" max="8200" width="10.5703125" style="1" customWidth="1"/>
    <col min="8201" max="8201" width="1.140625" style="1" customWidth="1"/>
    <col min="8202" max="8202" width="11.28515625" style="1" customWidth="1"/>
    <col min="8203" max="8203" width="12.7109375" style="1" customWidth="1"/>
    <col min="8204" max="8204" width="11.5703125" style="1" customWidth="1"/>
    <col min="8205" max="8205" width="12.42578125" style="1" customWidth="1"/>
    <col min="8206" max="8206" width="1.5703125" style="1" customWidth="1"/>
    <col min="8207" max="8207" width="11.42578125" style="1" customWidth="1"/>
    <col min="8208" max="8208" width="12.140625" style="1" customWidth="1"/>
    <col min="8209" max="8209" width="1.7109375" style="1" customWidth="1"/>
    <col min="8210" max="8210" width="13.5703125" style="1" customWidth="1"/>
    <col min="8211" max="8447" width="9.140625" style="1"/>
    <col min="8448" max="8448" width="9.28515625" style="1" customWidth="1"/>
    <col min="8449" max="8449" width="1.7109375" style="1" customWidth="1"/>
    <col min="8450" max="8453" width="12" style="1" customWidth="1"/>
    <col min="8454" max="8454" width="11.85546875" style="1" customWidth="1"/>
    <col min="8455" max="8455" width="10.7109375" style="1" customWidth="1"/>
    <col min="8456" max="8456" width="10.5703125" style="1" customWidth="1"/>
    <col min="8457" max="8457" width="1.140625" style="1" customWidth="1"/>
    <col min="8458" max="8458" width="11.28515625" style="1" customWidth="1"/>
    <col min="8459" max="8459" width="12.7109375" style="1" customWidth="1"/>
    <col min="8460" max="8460" width="11.5703125" style="1" customWidth="1"/>
    <col min="8461" max="8461" width="12.42578125" style="1" customWidth="1"/>
    <col min="8462" max="8462" width="1.5703125" style="1" customWidth="1"/>
    <col min="8463" max="8463" width="11.42578125" style="1" customWidth="1"/>
    <col min="8464" max="8464" width="12.140625" style="1" customWidth="1"/>
    <col min="8465" max="8465" width="1.7109375" style="1" customWidth="1"/>
    <col min="8466" max="8466" width="13.5703125" style="1" customWidth="1"/>
    <col min="8467" max="8703" width="9.140625" style="1"/>
    <col min="8704" max="8704" width="9.28515625" style="1" customWidth="1"/>
    <col min="8705" max="8705" width="1.7109375" style="1" customWidth="1"/>
    <col min="8706" max="8709" width="12" style="1" customWidth="1"/>
    <col min="8710" max="8710" width="11.85546875" style="1" customWidth="1"/>
    <col min="8711" max="8711" width="10.7109375" style="1" customWidth="1"/>
    <col min="8712" max="8712" width="10.5703125" style="1" customWidth="1"/>
    <col min="8713" max="8713" width="1.140625" style="1" customWidth="1"/>
    <col min="8714" max="8714" width="11.28515625" style="1" customWidth="1"/>
    <col min="8715" max="8715" width="12.7109375" style="1" customWidth="1"/>
    <col min="8716" max="8716" width="11.5703125" style="1" customWidth="1"/>
    <col min="8717" max="8717" width="12.42578125" style="1" customWidth="1"/>
    <col min="8718" max="8718" width="1.5703125" style="1" customWidth="1"/>
    <col min="8719" max="8719" width="11.42578125" style="1" customWidth="1"/>
    <col min="8720" max="8720" width="12.140625" style="1" customWidth="1"/>
    <col min="8721" max="8721" width="1.7109375" style="1" customWidth="1"/>
    <col min="8722" max="8722" width="13.5703125" style="1" customWidth="1"/>
    <col min="8723" max="8959" width="9.140625" style="1"/>
    <col min="8960" max="8960" width="9.28515625" style="1" customWidth="1"/>
    <col min="8961" max="8961" width="1.7109375" style="1" customWidth="1"/>
    <col min="8962" max="8965" width="12" style="1" customWidth="1"/>
    <col min="8966" max="8966" width="11.85546875" style="1" customWidth="1"/>
    <col min="8967" max="8967" width="10.7109375" style="1" customWidth="1"/>
    <col min="8968" max="8968" width="10.5703125" style="1" customWidth="1"/>
    <col min="8969" max="8969" width="1.140625" style="1" customWidth="1"/>
    <col min="8970" max="8970" width="11.28515625" style="1" customWidth="1"/>
    <col min="8971" max="8971" width="12.7109375" style="1" customWidth="1"/>
    <col min="8972" max="8972" width="11.5703125" style="1" customWidth="1"/>
    <col min="8973" max="8973" width="12.42578125" style="1" customWidth="1"/>
    <col min="8974" max="8974" width="1.5703125" style="1" customWidth="1"/>
    <col min="8975" max="8975" width="11.42578125" style="1" customWidth="1"/>
    <col min="8976" max="8976" width="12.140625" style="1" customWidth="1"/>
    <col min="8977" max="8977" width="1.7109375" style="1" customWidth="1"/>
    <col min="8978" max="8978" width="13.5703125" style="1" customWidth="1"/>
    <col min="8979" max="9215" width="9.140625" style="1"/>
    <col min="9216" max="9216" width="9.28515625" style="1" customWidth="1"/>
    <col min="9217" max="9217" width="1.7109375" style="1" customWidth="1"/>
    <col min="9218" max="9221" width="12" style="1" customWidth="1"/>
    <col min="9222" max="9222" width="11.85546875" style="1" customWidth="1"/>
    <col min="9223" max="9223" width="10.7109375" style="1" customWidth="1"/>
    <col min="9224" max="9224" width="10.5703125" style="1" customWidth="1"/>
    <col min="9225" max="9225" width="1.140625" style="1" customWidth="1"/>
    <col min="9226" max="9226" width="11.28515625" style="1" customWidth="1"/>
    <col min="9227" max="9227" width="12.7109375" style="1" customWidth="1"/>
    <col min="9228" max="9228" width="11.5703125" style="1" customWidth="1"/>
    <col min="9229" max="9229" width="12.42578125" style="1" customWidth="1"/>
    <col min="9230" max="9230" width="1.5703125" style="1" customWidth="1"/>
    <col min="9231" max="9231" width="11.42578125" style="1" customWidth="1"/>
    <col min="9232" max="9232" width="12.140625" style="1" customWidth="1"/>
    <col min="9233" max="9233" width="1.7109375" style="1" customWidth="1"/>
    <col min="9234" max="9234" width="13.5703125" style="1" customWidth="1"/>
    <col min="9235" max="9471" width="9.140625" style="1"/>
    <col min="9472" max="9472" width="9.28515625" style="1" customWidth="1"/>
    <col min="9473" max="9473" width="1.7109375" style="1" customWidth="1"/>
    <col min="9474" max="9477" width="12" style="1" customWidth="1"/>
    <col min="9478" max="9478" width="11.85546875" style="1" customWidth="1"/>
    <col min="9479" max="9479" width="10.7109375" style="1" customWidth="1"/>
    <col min="9480" max="9480" width="10.5703125" style="1" customWidth="1"/>
    <col min="9481" max="9481" width="1.140625" style="1" customWidth="1"/>
    <col min="9482" max="9482" width="11.28515625" style="1" customWidth="1"/>
    <col min="9483" max="9483" width="12.7109375" style="1" customWidth="1"/>
    <col min="9484" max="9484" width="11.5703125" style="1" customWidth="1"/>
    <col min="9485" max="9485" width="12.42578125" style="1" customWidth="1"/>
    <col min="9486" max="9486" width="1.5703125" style="1" customWidth="1"/>
    <col min="9487" max="9487" width="11.42578125" style="1" customWidth="1"/>
    <col min="9488" max="9488" width="12.140625" style="1" customWidth="1"/>
    <col min="9489" max="9489" width="1.7109375" style="1" customWidth="1"/>
    <col min="9490" max="9490" width="13.5703125" style="1" customWidth="1"/>
    <col min="9491" max="9727" width="9.140625" style="1"/>
    <col min="9728" max="9728" width="9.28515625" style="1" customWidth="1"/>
    <col min="9729" max="9729" width="1.7109375" style="1" customWidth="1"/>
    <col min="9730" max="9733" width="12" style="1" customWidth="1"/>
    <col min="9734" max="9734" width="11.85546875" style="1" customWidth="1"/>
    <col min="9735" max="9735" width="10.7109375" style="1" customWidth="1"/>
    <col min="9736" max="9736" width="10.5703125" style="1" customWidth="1"/>
    <col min="9737" max="9737" width="1.140625" style="1" customWidth="1"/>
    <col min="9738" max="9738" width="11.28515625" style="1" customWidth="1"/>
    <col min="9739" max="9739" width="12.7109375" style="1" customWidth="1"/>
    <col min="9740" max="9740" width="11.5703125" style="1" customWidth="1"/>
    <col min="9741" max="9741" width="12.42578125" style="1" customWidth="1"/>
    <col min="9742" max="9742" width="1.5703125" style="1" customWidth="1"/>
    <col min="9743" max="9743" width="11.42578125" style="1" customWidth="1"/>
    <col min="9744" max="9744" width="12.140625" style="1" customWidth="1"/>
    <col min="9745" max="9745" width="1.7109375" style="1" customWidth="1"/>
    <col min="9746" max="9746" width="13.5703125" style="1" customWidth="1"/>
    <col min="9747" max="9983" width="9.140625" style="1"/>
    <col min="9984" max="9984" width="9.28515625" style="1" customWidth="1"/>
    <col min="9985" max="9985" width="1.7109375" style="1" customWidth="1"/>
    <col min="9986" max="9989" width="12" style="1" customWidth="1"/>
    <col min="9990" max="9990" width="11.85546875" style="1" customWidth="1"/>
    <col min="9991" max="9991" width="10.7109375" style="1" customWidth="1"/>
    <col min="9992" max="9992" width="10.5703125" style="1" customWidth="1"/>
    <col min="9993" max="9993" width="1.140625" style="1" customWidth="1"/>
    <col min="9994" max="9994" width="11.28515625" style="1" customWidth="1"/>
    <col min="9995" max="9995" width="12.7109375" style="1" customWidth="1"/>
    <col min="9996" max="9996" width="11.5703125" style="1" customWidth="1"/>
    <col min="9997" max="9997" width="12.42578125" style="1" customWidth="1"/>
    <col min="9998" max="9998" width="1.5703125" style="1" customWidth="1"/>
    <col min="9999" max="9999" width="11.42578125" style="1" customWidth="1"/>
    <col min="10000" max="10000" width="12.140625" style="1" customWidth="1"/>
    <col min="10001" max="10001" width="1.7109375" style="1" customWidth="1"/>
    <col min="10002" max="10002" width="13.5703125" style="1" customWidth="1"/>
    <col min="10003" max="10239" width="9.140625" style="1"/>
    <col min="10240" max="10240" width="9.28515625" style="1" customWidth="1"/>
    <col min="10241" max="10241" width="1.7109375" style="1" customWidth="1"/>
    <col min="10242" max="10245" width="12" style="1" customWidth="1"/>
    <col min="10246" max="10246" width="11.85546875" style="1" customWidth="1"/>
    <col min="10247" max="10247" width="10.7109375" style="1" customWidth="1"/>
    <col min="10248" max="10248" width="10.5703125" style="1" customWidth="1"/>
    <col min="10249" max="10249" width="1.140625" style="1" customWidth="1"/>
    <col min="10250" max="10250" width="11.28515625" style="1" customWidth="1"/>
    <col min="10251" max="10251" width="12.7109375" style="1" customWidth="1"/>
    <col min="10252" max="10252" width="11.5703125" style="1" customWidth="1"/>
    <col min="10253" max="10253" width="12.42578125" style="1" customWidth="1"/>
    <col min="10254" max="10254" width="1.5703125" style="1" customWidth="1"/>
    <col min="10255" max="10255" width="11.42578125" style="1" customWidth="1"/>
    <col min="10256" max="10256" width="12.140625" style="1" customWidth="1"/>
    <col min="10257" max="10257" width="1.7109375" style="1" customWidth="1"/>
    <col min="10258" max="10258" width="13.5703125" style="1" customWidth="1"/>
    <col min="10259" max="10495" width="9.140625" style="1"/>
    <col min="10496" max="10496" width="9.28515625" style="1" customWidth="1"/>
    <col min="10497" max="10497" width="1.7109375" style="1" customWidth="1"/>
    <col min="10498" max="10501" width="12" style="1" customWidth="1"/>
    <col min="10502" max="10502" width="11.85546875" style="1" customWidth="1"/>
    <col min="10503" max="10503" width="10.7109375" style="1" customWidth="1"/>
    <col min="10504" max="10504" width="10.5703125" style="1" customWidth="1"/>
    <col min="10505" max="10505" width="1.140625" style="1" customWidth="1"/>
    <col min="10506" max="10506" width="11.28515625" style="1" customWidth="1"/>
    <col min="10507" max="10507" width="12.7109375" style="1" customWidth="1"/>
    <col min="10508" max="10508" width="11.5703125" style="1" customWidth="1"/>
    <col min="10509" max="10509" width="12.42578125" style="1" customWidth="1"/>
    <col min="10510" max="10510" width="1.5703125" style="1" customWidth="1"/>
    <col min="10511" max="10511" width="11.42578125" style="1" customWidth="1"/>
    <col min="10512" max="10512" width="12.140625" style="1" customWidth="1"/>
    <col min="10513" max="10513" width="1.7109375" style="1" customWidth="1"/>
    <col min="10514" max="10514" width="13.5703125" style="1" customWidth="1"/>
    <col min="10515" max="10751" width="9.140625" style="1"/>
    <col min="10752" max="10752" width="9.28515625" style="1" customWidth="1"/>
    <col min="10753" max="10753" width="1.7109375" style="1" customWidth="1"/>
    <col min="10754" max="10757" width="12" style="1" customWidth="1"/>
    <col min="10758" max="10758" width="11.85546875" style="1" customWidth="1"/>
    <col min="10759" max="10759" width="10.7109375" style="1" customWidth="1"/>
    <col min="10760" max="10760" width="10.5703125" style="1" customWidth="1"/>
    <col min="10761" max="10761" width="1.140625" style="1" customWidth="1"/>
    <col min="10762" max="10762" width="11.28515625" style="1" customWidth="1"/>
    <col min="10763" max="10763" width="12.7109375" style="1" customWidth="1"/>
    <col min="10764" max="10764" width="11.5703125" style="1" customWidth="1"/>
    <col min="10765" max="10765" width="12.42578125" style="1" customWidth="1"/>
    <col min="10766" max="10766" width="1.5703125" style="1" customWidth="1"/>
    <col min="10767" max="10767" width="11.42578125" style="1" customWidth="1"/>
    <col min="10768" max="10768" width="12.140625" style="1" customWidth="1"/>
    <col min="10769" max="10769" width="1.7109375" style="1" customWidth="1"/>
    <col min="10770" max="10770" width="13.5703125" style="1" customWidth="1"/>
    <col min="10771" max="11007" width="9.140625" style="1"/>
    <col min="11008" max="11008" width="9.28515625" style="1" customWidth="1"/>
    <col min="11009" max="11009" width="1.7109375" style="1" customWidth="1"/>
    <col min="11010" max="11013" width="12" style="1" customWidth="1"/>
    <col min="11014" max="11014" width="11.85546875" style="1" customWidth="1"/>
    <col min="11015" max="11015" width="10.7109375" style="1" customWidth="1"/>
    <col min="11016" max="11016" width="10.5703125" style="1" customWidth="1"/>
    <col min="11017" max="11017" width="1.140625" style="1" customWidth="1"/>
    <col min="11018" max="11018" width="11.28515625" style="1" customWidth="1"/>
    <col min="11019" max="11019" width="12.7109375" style="1" customWidth="1"/>
    <col min="11020" max="11020" width="11.5703125" style="1" customWidth="1"/>
    <col min="11021" max="11021" width="12.42578125" style="1" customWidth="1"/>
    <col min="11022" max="11022" width="1.5703125" style="1" customWidth="1"/>
    <col min="11023" max="11023" width="11.42578125" style="1" customWidth="1"/>
    <col min="11024" max="11024" width="12.140625" style="1" customWidth="1"/>
    <col min="11025" max="11025" width="1.7109375" style="1" customWidth="1"/>
    <col min="11026" max="11026" width="13.5703125" style="1" customWidth="1"/>
    <col min="11027" max="11263" width="9.140625" style="1"/>
    <col min="11264" max="11264" width="9.28515625" style="1" customWidth="1"/>
    <col min="11265" max="11265" width="1.7109375" style="1" customWidth="1"/>
    <col min="11266" max="11269" width="12" style="1" customWidth="1"/>
    <col min="11270" max="11270" width="11.85546875" style="1" customWidth="1"/>
    <col min="11271" max="11271" width="10.7109375" style="1" customWidth="1"/>
    <col min="11272" max="11272" width="10.5703125" style="1" customWidth="1"/>
    <col min="11273" max="11273" width="1.140625" style="1" customWidth="1"/>
    <col min="11274" max="11274" width="11.28515625" style="1" customWidth="1"/>
    <col min="11275" max="11275" width="12.7109375" style="1" customWidth="1"/>
    <col min="11276" max="11276" width="11.5703125" style="1" customWidth="1"/>
    <col min="11277" max="11277" width="12.42578125" style="1" customWidth="1"/>
    <col min="11278" max="11278" width="1.5703125" style="1" customWidth="1"/>
    <col min="11279" max="11279" width="11.42578125" style="1" customWidth="1"/>
    <col min="11280" max="11280" width="12.140625" style="1" customWidth="1"/>
    <col min="11281" max="11281" width="1.7109375" style="1" customWidth="1"/>
    <col min="11282" max="11282" width="13.5703125" style="1" customWidth="1"/>
    <col min="11283" max="11519" width="9.140625" style="1"/>
    <col min="11520" max="11520" width="9.28515625" style="1" customWidth="1"/>
    <col min="11521" max="11521" width="1.7109375" style="1" customWidth="1"/>
    <col min="11522" max="11525" width="12" style="1" customWidth="1"/>
    <col min="11526" max="11526" width="11.85546875" style="1" customWidth="1"/>
    <col min="11527" max="11527" width="10.7109375" style="1" customWidth="1"/>
    <col min="11528" max="11528" width="10.5703125" style="1" customWidth="1"/>
    <col min="11529" max="11529" width="1.140625" style="1" customWidth="1"/>
    <col min="11530" max="11530" width="11.28515625" style="1" customWidth="1"/>
    <col min="11531" max="11531" width="12.7109375" style="1" customWidth="1"/>
    <col min="11532" max="11532" width="11.5703125" style="1" customWidth="1"/>
    <col min="11533" max="11533" width="12.42578125" style="1" customWidth="1"/>
    <col min="11534" max="11534" width="1.5703125" style="1" customWidth="1"/>
    <col min="11535" max="11535" width="11.42578125" style="1" customWidth="1"/>
    <col min="11536" max="11536" width="12.140625" style="1" customWidth="1"/>
    <col min="11537" max="11537" width="1.7109375" style="1" customWidth="1"/>
    <col min="11538" max="11538" width="13.5703125" style="1" customWidth="1"/>
    <col min="11539" max="11775" width="9.140625" style="1"/>
    <col min="11776" max="11776" width="9.28515625" style="1" customWidth="1"/>
    <col min="11777" max="11777" width="1.7109375" style="1" customWidth="1"/>
    <col min="11778" max="11781" width="12" style="1" customWidth="1"/>
    <col min="11782" max="11782" width="11.85546875" style="1" customWidth="1"/>
    <col min="11783" max="11783" width="10.7109375" style="1" customWidth="1"/>
    <col min="11784" max="11784" width="10.5703125" style="1" customWidth="1"/>
    <col min="11785" max="11785" width="1.140625" style="1" customWidth="1"/>
    <col min="11786" max="11786" width="11.28515625" style="1" customWidth="1"/>
    <col min="11787" max="11787" width="12.7109375" style="1" customWidth="1"/>
    <col min="11788" max="11788" width="11.5703125" style="1" customWidth="1"/>
    <col min="11789" max="11789" width="12.42578125" style="1" customWidth="1"/>
    <col min="11790" max="11790" width="1.5703125" style="1" customWidth="1"/>
    <col min="11791" max="11791" width="11.42578125" style="1" customWidth="1"/>
    <col min="11792" max="11792" width="12.140625" style="1" customWidth="1"/>
    <col min="11793" max="11793" width="1.7109375" style="1" customWidth="1"/>
    <col min="11794" max="11794" width="13.5703125" style="1" customWidth="1"/>
    <col min="11795" max="12031" width="9.140625" style="1"/>
    <col min="12032" max="12032" width="9.28515625" style="1" customWidth="1"/>
    <col min="12033" max="12033" width="1.7109375" style="1" customWidth="1"/>
    <col min="12034" max="12037" width="12" style="1" customWidth="1"/>
    <col min="12038" max="12038" width="11.85546875" style="1" customWidth="1"/>
    <col min="12039" max="12039" width="10.7109375" style="1" customWidth="1"/>
    <col min="12040" max="12040" width="10.5703125" style="1" customWidth="1"/>
    <col min="12041" max="12041" width="1.140625" style="1" customWidth="1"/>
    <col min="12042" max="12042" width="11.28515625" style="1" customWidth="1"/>
    <col min="12043" max="12043" width="12.7109375" style="1" customWidth="1"/>
    <col min="12044" max="12044" width="11.5703125" style="1" customWidth="1"/>
    <col min="12045" max="12045" width="12.42578125" style="1" customWidth="1"/>
    <col min="12046" max="12046" width="1.5703125" style="1" customWidth="1"/>
    <col min="12047" max="12047" width="11.42578125" style="1" customWidth="1"/>
    <col min="12048" max="12048" width="12.140625" style="1" customWidth="1"/>
    <col min="12049" max="12049" width="1.7109375" style="1" customWidth="1"/>
    <col min="12050" max="12050" width="13.5703125" style="1" customWidth="1"/>
    <col min="12051" max="12287" width="9.140625" style="1"/>
    <col min="12288" max="12288" width="9.28515625" style="1" customWidth="1"/>
    <col min="12289" max="12289" width="1.7109375" style="1" customWidth="1"/>
    <col min="12290" max="12293" width="12" style="1" customWidth="1"/>
    <col min="12294" max="12294" width="11.85546875" style="1" customWidth="1"/>
    <col min="12295" max="12295" width="10.7109375" style="1" customWidth="1"/>
    <col min="12296" max="12296" width="10.5703125" style="1" customWidth="1"/>
    <col min="12297" max="12297" width="1.140625" style="1" customWidth="1"/>
    <col min="12298" max="12298" width="11.28515625" style="1" customWidth="1"/>
    <col min="12299" max="12299" width="12.7109375" style="1" customWidth="1"/>
    <col min="12300" max="12300" width="11.5703125" style="1" customWidth="1"/>
    <col min="12301" max="12301" width="12.42578125" style="1" customWidth="1"/>
    <col min="12302" max="12302" width="1.5703125" style="1" customWidth="1"/>
    <col min="12303" max="12303" width="11.42578125" style="1" customWidth="1"/>
    <col min="12304" max="12304" width="12.140625" style="1" customWidth="1"/>
    <col min="12305" max="12305" width="1.7109375" style="1" customWidth="1"/>
    <col min="12306" max="12306" width="13.5703125" style="1" customWidth="1"/>
    <col min="12307" max="12543" width="9.140625" style="1"/>
    <col min="12544" max="12544" width="9.28515625" style="1" customWidth="1"/>
    <col min="12545" max="12545" width="1.7109375" style="1" customWidth="1"/>
    <col min="12546" max="12549" width="12" style="1" customWidth="1"/>
    <col min="12550" max="12550" width="11.85546875" style="1" customWidth="1"/>
    <col min="12551" max="12551" width="10.7109375" style="1" customWidth="1"/>
    <col min="12552" max="12552" width="10.5703125" style="1" customWidth="1"/>
    <col min="12553" max="12553" width="1.140625" style="1" customWidth="1"/>
    <col min="12554" max="12554" width="11.28515625" style="1" customWidth="1"/>
    <col min="12555" max="12555" width="12.7109375" style="1" customWidth="1"/>
    <col min="12556" max="12556" width="11.5703125" style="1" customWidth="1"/>
    <col min="12557" max="12557" width="12.42578125" style="1" customWidth="1"/>
    <col min="12558" max="12558" width="1.5703125" style="1" customWidth="1"/>
    <col min="12559" max="12559" width="11.42578125" style="1" customWidth="1"/>
    <col min="12560" max="12560" width="12.140625" style="1" customWidth="1"/>
    <col min="12561" max="12561" width="1.7109375" style="1" customWidth="1"/>
    <col min="12562" max="12562" width="13.5703125" style="1" customWidth="1"/>
    <col min="12563" max="12799" width="9.140625" style="1"/>
    <col min="12800" max="12800" width="9.28515625" style="1" customWidth="1"/>
    <col min="12801" max="12801" width="1.7109375" style="1" customWidth="1"/>
    <col min="12802" max="12805" width="12" style="1" customWidth="1"/>
    <col min="12806" max="12806" width="11.85546875" style="1" customWidth="1"/>
    <col min="12807" max="12807" width="10.7109375" style="1" customWidth="1"/>
    <col min="12808" max="12808" width="10.5703125" style="1" customWidth="1"/>
    <col min="12809" max="12809" width="1.140625" style="1" customWidth="1"/>
    <col min="12810" max="12810" width="11.28515625" style="1" customWidth="1"/>
    <col min="12811" max="12811" width="12.7109375" style="1" customWidth="1"/>
    <col min="12812" max="12812" width="11.5703125" style="1" customWidth="1"/>
    <col min="12813" max="12813" width="12.42578125" style="1" customWidth="1"/>
    <col min="12814" max="12814" width="1.5703125" style="1" customWidth="1"/>
    <col min="12815" max="12815" width="11.42578125" style="1" customWidth="1"/>
    <col min="12816" max="12816" width="12.140625" style="1" customWidth="1"/>
    <col min="12817" max="12817" width="1.7109375" style="1" customWidth="1"/>
    <col min="12818" max="12818" width="13.5703125" style="1" customWidth="1"/>
    <col min="12819" max="13055" width="9.140625" style="1"/>
    <col min="13056" max="13056" width="9.28515625" style="1" customWidth="1"/>
    <col min="13057" max="13057" width="1.7109375" style="1" customWidth="1"/>
    <col min="13058" max="13061" width="12" style="1" customWidth="1"/>
    <col min="13062" max="13062" width="11.85546875" style="1" customWidth="1"/>
    <col min="13063" max="13063" width="10.7109375" style="1" customWidth="1"/>
    <col min="13064" max="13064" width="10.5703125" style="1" customWidth="1"/>
    <col min="13065" max="13065" width="1.140625" style="1" customWidth="1"/>
    <col min="13066" max="13066" width="11.28515625" style="1" customWidth="1"/>
    <col min="13067" max="13067" width="12.7109375" style="1" customWidth="1"/>
    <col min="13068" max="13068" width="11.5703125" style="1" customWidth="1"/>
    <col min="13069" max="13069" width="12.42578125" style="1" customWidth="1"/>
    <col min="13070" max="13070" width="1.5703125" style="1" customWidth="1"/>
    <col min="13071" max="13071" width="11.42578125" style="1" customWidth="1"/>
    <col min="13072" max="13072" width="12.140625" style="1" customWidth="1"/>
    <col min="13073" max="13073" width="1.7109375" style="1" customWidth="1"/>
    <col min="13074" max="13074" width="13.5703125" style="1" customWidth="1"/>
    <col min="13075" max="13311" width="9.140625" style="1"/>
    <col min="13312" max="13312" width="9.28515625" style="1" customWidth="1"/>
    <col min="13313" max="13313" width="1.7109375" style="1" customWidth="1"/>
    <col min="13314" max="13317" width="12" style="1" customWidth="1"/>
    <col min="13318" max="13318" width="11.85546875" style="1" customWidth="1"/>
    <col min="13319" max="13319" width="10.7109375" style="1" customWidth="1"/>
    <col min="13320" max="13320" width="10.5703125" style="1" customWidth="1"/>
    <col min="13321" max="13321" width="1.140625" style="1" customWidth="1"/>
    <col min="13322" max="13322" width="11.28515625" style="1" customWidth="1"/>
    <col min="13323" max="13323" width="12.7109375" style="1" customWidth="1"/>
    <col min="13324" max="13324" width="11.5703125" style="1" customWidth="1"/>
    <col min="13325" max="13325" width="12.42578125" style="1" customWidth="1"/>
    <col min="13326" max="13326" width="1.5703125" style="1" customWidth="1"/>
    <col min="13327" max="13327" width="11.42578125" style="1" customWidth="1"/>
    <col min="13328" max="13328" width="12.140625" style="1" customWidth="1"/>
    <col min="13329" max="13329" width="1.7109375" style="1" customWidth="1"/>
    <col min="13330" max="13330" width="13.5703125" style="1" customWidth="1"/>
    <col min="13331" max="13567" width="9.140625" style="1"/>
    <col min="13568" max="13568" width="9.28515625" style="1" customWidth="1"/>
    <col min="13569" max="13569" width="1.7109375" style="1" customWidth="1"/>
    <col min="13570" max="13573" width="12" style="1" customWidth="1"/>
    <col min="13574" max="13574" width="11.85546875" style="1" customWidth="1"/>
    <col min="13575" max="13575" width="10.7109375" style="1" customWidth="1"/>
    <col min="13576" max="13576" width="10.5703125" style="1" customWidth="1"/>
    <col min="13577" max="13577" width="1.140625" style="1" customWidth="1"/>
    <col min="13578" max="13578" width="11.28515625" style="1" customWidth="1"/>
    <col min="13579" max="13579" width="12.7109375" style="1" customWidth="1"/>
    <col min="13580" max="13580" width="11.5703125" style="1" customWidth="1"/>
    <col min="13581" max="13581" width="12.42578125" style="1" customWidth="1"/>
    <col min="13582" max="13582" width="1.5703125" style="1" customWidth="1"/>
    <col min="13583" max="13583" width="11.42578125" style="1" customWidth="1"/>
    <col min="13584" max="13584" width="12.140625" style="1" customWidth="1"/>
    <col min="13585" max="13585" width="1.7109375" style="1" customWidth="1"/>
    <col min="13586" max="13586" width="13.5703125" style="1" customWidth="1"/>
    <col min="13587" max="13823" width="9.140625" style="1"/>
    <col min="13824" max="13824" width="9.28515625" style="1" customWidth="1"/>
    <col min="13825" max="13825" width="1.7109375" style="1" customWidth="1"/>
    <col min="13826" max="13829" width="12" style="1" customWidth="1"/>
    <col min="13830" max="13830" width="11.85546875" style="1" customWidth="1"/>
    <col min="13831" max="13831" width="10.7109375" style="1" customWidth="1"/>
    <col min="13832" max="13832" width="10.5703125" style="1" customWidth="1"/>
    <col min="13833" max="13833" width="1.140625" style="1" customWidth="1"/>
    <col min="13834" max="13834" width="11.28515625" style="1" customWidth="1"/>
    <col min="13835" max="13835" width="12.7109375" style="1" customWidth="1"/>
    <col min="13836" max="13836" width="11.5703125" style="1" customWidth="1"/>
    <col min="13837" max="13837" width="12.42578125" style="1" customWidth="1"/>
    <col min="13838" max="13838" width="1.5703125" style="1" customWidth="1"/>
    <col min="13839" max="13839" width="11.42578125" style="1" customWidth="1"/>
    <col min="13840" max="13840" width="12.140625" style="1" customWidth="1"/>
    <col min="13841" max="13841" width="1.7109375" style="1" customWidth="1"/>
    <col min="13842" max="13842" width="13.5703125" style="1" customWidth="1"/>
    <col min="13843" max="14079" width="9.140625" style="1"/>
    <col min="14080" max="14080" width="9.28515625" style="1" customWidth="1"/>
    <col min="14081" max="14081" width="1.7109375" style="1" customWidth="1"/>
    <col min="14082" max="14085" width="12" style="1" customWidth="1"/>
    <col min="14086" max="14086" width="11.85546875" style="1" customWidth="1"/>
    <col min="14087" max="14087" width="10.7109375" style="1" customWidth="1"/>
    <col min="14088" max="14088" width="10.5703125" style="1" customWidth="1"/>
    <col min="14089" max="14089" width="1.140625" style="1" customWidth="1"/>
    <col min="14090" max="14090" width="11.28515625" style="1" customWidth="1"/>
    <col min="14091" max="14091" width="12.7109375" style="1" customWidth="1"/>
    <col min="14092" max="14092" width="11.5703125" style="1" customWidth="1"/>
    <col min="14093" max="14093" width="12.42578125" style="1" customWidth="1"/>
    <col min="14094" max="14094" width="1.5703125" style="1" customWidth="1"/>
    <col min="14095" max="14095" width="11.42578125" style="1" customWidth="1"/>
    <col min="14096" max="14096" width="12.140625" style="1" customWidth="1"/>
    <col min="14097" max="14097" width="1.7109375" style="1" customWidth="1"/>
    <col min="14098" max="14098" width="13.5703125" style="1" customWidth="1"/>
    <col min="14099" max="14335" width="9.140625" style="1"/>
    <col min="14336" max="14336" width="9.28515625" style="1" customWidth="1"/>
    <col min="14337" max="14337" width="1.7109375" style="1" customWidth="1"/>
    <col min="14338" max="14341" width="12" style="1" customWidth="1"/>
    <col min="14342" max="14342" width="11.85546875" style="1" customWidth="1"/>
    <col min="14343" max="14343" width="10.7109375" style="1" customWidth="1"/>
    <col min="14344" max="14344" width="10.5703125" style="1" customWidth="1"/>
    <col min="14345" max="14345" width="1.140625" style="1" customWidth="1"/>
    <col min="14346" max="14346" width="11.28515625" style="1" customWidth="1"/>
    <col min="14347" max="14347" width="12.7109375" style="1" customWidth="1"/>
    <col min="14348" max="14348" width="11.5703125" style="1" customWidth="1"/>
    <col min="14349" max="14349" width="12.42578125" style="1" customWidth="1"/>
    <col min="14350" max="14350" width="1.5703125" style="1" customWidth="1"/>
    <col min="14351" max="14351" width="11.42578125" style="1" customWidth="1"/>
    <col min="14352" max="14352" width="12.140625" style="1" customWidth="1"/>
    <col min="14353" max="14353" width="1.7109375" style="1" customWidth="1"/>
    <col min="14354" max="14354" width="13.5703125" style="1" customWidth="1"/>
    <col min="14355" max="14591" width="9.140625" style="1"/>
    <col min="14592" max="14592" width="9.28515625" style="1" customWidth="1"/>
    <col min="14593" max="14593" width="1.7109375" style="1" customWidth="1"/>
    <col min="14594" max="14597" width="12" style="1" customWidth="1"/>
    <col min="14598" max="14598" width="11.85546875" style="1" customWidth="1"/>
    <col min="14599" max="14599" width="10.7109375" style="1" customWidth="1"/>
    <col min="14600" max="14600" width="10.5703125" style="1" customWidth="1"/>
    <col min="14601" max="14601" width="1.140625" style="1" customWidth="1"/>
    <col min="14602" max="14602" width="11.28515625" style="1" customWidth="1"/>
    <col min="14603" max="14603" width="12.7109375" style="1" customWidth="1"/>
    <col min="14604" max="14604" width="11.5703125" style="1" customWidth="1"/>
    <col min="14605" max="14605" width="12.42578125" style="1" customWidth="1"/>
    <col min="14606" max="14606" width="1.5703125" style="1" customWidth="1"/>
    <col min="14607" max="14607" width="11.42578125" style="1" customWidth="1"/>
    <col min="14608" max="14608" width="12.140625" style="1" customWidth="1"/>
    <col min="14609" max="14609" width="1.7109375" style="1" customWidth="1"/>
    <col min="14610" max="14610" width="13.5703125" style="1" customWidth="1"/>
    <col min="14611" max="14847" width="9.140625" style="1"/>
    <col min="14848" max="14848" width="9.28515625" style="1" customWidth="1"/>
    <col min="14849" max="14849" width="1.7109375" style="1" customWidth="1"/>
    <col min="14850" max="14853" width="12" style="1" customWidth="1"/>
    <col min="14854" max="14854" width="11.85546875" style="1" customWidth="1"/>
    <col min="14855" max="14855" width="10.7109375" style="1" customWidth="1"/>
    <col min="14856" max="14856" width="10.5703125" style="1" customWidth="1"/>
    <col min="14857" max="14857" width="1.140625" style="1" customWidth="1"/>
    <col min="14858" max="14858" width="11.28515625" style="1" customWidth="1"/>
    <col min="14859" max="14859" width="12.7109375" style="1" customWidth="1"/>
    <col min="14860" max="14860" width="11.5703125" style="1" customWidth="1"/>
    <col min="14861" max="14861" width="12.42578125" style="1" customWidth="1"/>
    <col min="14862" max="14862" width="1.5703125" style="1" customWidth="1"/>
    <col min="14863" max="14863" width="11.42578125" style="1" customWidth="1"/>
    <col min="14864" max="14864" width="12.140625" style="1" customWidth="1"/>
    <col min="14865" max="14865" width="1.7109375" style="1" customWidth="1"/>
    <col min="14866" max="14866" width="13.5703125" style="1" customWidth="1"/>
    <col min="14867" max="15103" width="9.140625" style="1"/>
    <col min="15104" max="15104" width="9.28515625" style="1" customWidth="1"/>
    <col min="15105" max="15105" width="1.7109375" style="1" customWidth="1"/>
    <col min="15106" max="15109" width="12" style="1" customWidth="1"/>
    <col min="15110" max="15110" width="11.85546875" style="1" customWidth="1"/>
    <col min="15111" max="15111" width="10.7109375" style="1" customWidth="1"/>
    <col min="15112" max="15112" width="10.5703125" style="1" customWidth="1"/>
    <col min="15113" max="15113" width="1.140625" style="1" customWidth="1"/>
    <col min="15114" max="15114" width="11.28515625" style="1" customWidth="1"/>
    <col min="15115" max="15115" width="12.7109375" style="1" customWidth="1"/>
    <col min="15116" max="15116" width="11.5703125" style="1" customWidth="1"/>
    <col min="15117" max="15117" width="12.42578125" style="1" customWidth="1"/>
    <col min="15118" max="15118" width="1.5703125" style="1" customWidth="1"/>
    <col min="15119" max="15119" width="11.42578125" style="1" customWidth="1"/>
    <col min="15120" max="15120" width="12.140625" style="1" customWidth="1"/>
    <col min="15121" max="15121" width="1.7109375" style="1" customWidth="1"/>
    <col min="15122" max="15122" width="13.5703125" style="1" customWidth="1"/>
    <col min="15123" max="15359" width="9.140625" style="1"/>
    <col min="15360" max="15360" width="9.28515625" style="1" customWidth="1"/>
    <col min="15361" max="15361" width="1.7109375" style="1" customWidth="1"/>
    <col min="15362" max="15365" width="12" style="1" customWidth="1"/>
    <col min="15366" max="15366" width="11.85546875" style="1" customWidth="1"/>
    <col min="15367" max="15367" width="10.7109375" style="1" customWidth="1"/>
    <col min="15368" max="15368" width="10.5703125" style="1" customWidth="1"/>
    <col min="15369" max="15369" width="1.140625" style="1" customWidth="1"/>
    <col min="15370" max="15370" width="11.28515625" style="1" customWidth="1"/>
    <col min="15371" max="15371" width="12.7109375" style="1" customWidth="1"/>
    <col min="15372" max="15372" width="11.5703125" style="1" customWidth="1"/>
    <col min="15373" max="15373" width="12.42578125" style="1" customWidth="1"/>
    <col min="15374" max="15374" width="1.5703125" style="1" customWidth="1"/>
    <col min="15375" max="15375" width="11.42578125" style="1" customWidth="1"/>
    <col min="15376" max="15376" width="12.140625" style="1" customWidth="1"/>
    <col min="15377" max="15377" width="1.7109375" style="1" customWidth="1"/>
    <col min="15378" max="15378" width="13.5703125" style="1" customWidth="1"/>
    <col min="15379" max="15615" width="9.140625" style="1"/>
    <col min="15616" max="15616" width="9.28515625" style="1" customWidth="1"/>
    <col min="15617" max="15617" width="1.7109375" style="1" customWidth="1"/>
    <col min="15618" max="15621" width="12" style="1" customWidth="1"/>
    <col min="15622" max="15622" width="11.85546875" style="1" customWidth="1"/>
    <col min="15623" max="15623" width="10.7109375" style="1" customWidth="1"/>
    <col min="15624" max="15624" width="10.5703125" style="1" customWidth="1"/>
    <col min="15625" max="15625" width="1.140625" style="1" customWidth="1"/>
    <col min="15626" max="15626" width="11.28515625" style="1" customWidth="1"/>
    <col min="15627" max="15627" width="12.7109375" style="1" customWidth="1"/>
    <col min="15628" max="15628" width="11.5703125" style="1" customWidth="1"/>
    <col min="15629" max="15629" width="12.42578125" style="1" customWidth="1"/>
    <col min="15630" max="15630" width="1.5703125" style="1" customWidth="1"/>
    <col min="15631" max="15631" width="11.42578125" style="1" customWidth="1"/>
    <col min="15632" max="15632" width="12.140625" style="1" customWidth="1"/>
    <col min="15633" max="15633" width="1.7109375" style="1" customWidth="1"/>
    <col min="15634" max="15634" width="13.5703125" style="1" customWidth="1"/>
    <col min="15635" max="15871" width="9.140625" style="1"/>
    <col min="15872" max="15872" width="9.28515625" style="1" customWidth="1"/>
    <col min="15873" max="15873" width="1.7109375" style="1" customWidth="1"/>
    <col min="15874" max="15877" width="12" style="1" customWidth="1"/>
    <col min="15878" max="15878" width="11.85546875" style="1" customWidth="1"/>
    <col min="15879" max="15879" width="10.7109375" style="1" customWidth="1"/>
    <col min="15880" max="15880" width="10.5703125" style="1" customWidth="1"/>
    <col min="15881" max="15881" width="1.140625" style="1" customWidth="1"/>
    <col min="15882" max="15882" width="11.28515625" style="1" customWidth="1"/>
    <col min="15883" max="15883" width="12.7109375" style="1" customWidth="1"/>
    <col min="15884" max="15884" width="11.5703125" style="1" customWidth="1"/>
    <col min="15885" max="15885" width="12.42578125" style="1" customWidth="1"/>
    <col min="15886" max="15886" width="1.5703125" style="1" customWidth="1"/>
    <col min="15887" max="15887" width="11.42578125" style="1" customWidth="1"/>
    <col min="15888" max="15888" width="12.140625" style="1" customWidth="1"/>
    <col min="15889" max="15889" width="1.7109375" style="1" customWidth="1"/>
    <col min="15890" max="15890" width="13.5703125" style="1" customWidth="1"/>
    <col min="15891" max="16127" width="9.140625" style="1"/>
    <col min="16128" max="16128" width="9.28515625" style="1" customWidth="1"/>
    <col min="16129" max="16129" width="1.7109375" style="1" customWidth="1"/>
    <col min="16130" max="16133" width="12" style="1" customWidth="1"/>
    <col min="16134" max="16134" width="11.85546875" style="1" customWidth="1"/>
    <col min="16135" max="16135" width="10.7109375" style="1" customWidth="1"/>
    <col min="16136" max="16136" width="10.5703125" style="1" customWidth="1"/>
    <col min="16137" max="16137" width="1.140625" style="1" customWidth="1"/>
    <col min="16138" max="16138" width="11.28515625" style="1" customWidth="1"/>
    <col min="16139" max="16139" width="12.7109375" style="1" customWidth="1"/>
    <col min="16140" max="16140" width="11.5703125" style="1" customWidth="1"/>
    <col min="16141" max="16141" width="12.42578125" style="1" customWidth="1"/>
    <col min="16142" max="16142" width="1.5703125" style="1" customWidth="1"/>
    <col min="16143" max="16143" width="11.42578125" style="1" customWidth="1"/>
    <col min="16144" max="16144" width="12.140625" style="1" customWidth="1"/>
    <col min="16145" max="16145" width="1.7109375" style="1" customWidth="1"/>
    <col min="16146" max="16146" width="13.5703125" style="1" customWidth="1"/>
    <col min="16147" max="16384" width="9.140625" style="1"/>
  </cols>
  <sheetData>
    <row r="1" spans="1:25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25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25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1:25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5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spans="1:25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5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5" s="8" customFormat="1" ht="14.25" customHeight="1" x14ac:dyDescent="0.25">
      <c r="A9" s="67" t="s">
        <v>58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5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U11" s="76" t="s">
        <v>50</v>
      </c>
      <c r="V11" s="77"/>
      <c r="W11" s="77"/>
      <c r="X11" s="77"/>
      <c r="Y11" s="78"/>
    </row>
    <row r="12" spans="1:25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U12" s="16" t="s">
        <v>4</v>
      </c>
      <c r="V12" s="36"/>
      <c r="W12" s="36"/>
      <c r="X12" s="36"/>
      <c r="Y12" s="36" t="s">
        <v>23</v>
      </c>
    </row>
    <row r="13" spans="1:25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U13" s="16" t="s">
        <v>4</v>
      </c>
      <c r="V13" s="16" t="s">
        <v>24</v>
      </c>
      <c r="W13" s="36" t="s">
        <v>4</v>
      </c>
      <c r="X13" s="36" t="s">
        <v>25</v>
      </c>
      <c r="Y13" s="36" t="s">
        <v>26</v>
      </c>
    </row>
    <row r="14" spans="1:25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U14" s="23" t="s">
        <v>21</v>
      </c>
      <c r="V14" s="23" t="s">
        <v>27</v>
      </c>
      <c r="W14" s="37" t="s">
        <v>28</v>
      </c>
      <c r="X14" s="37" t="s">
        <v>29</v>
      </c>
      <c r="Y14" s="37" t="s">
        <v>30</v>
      </c>
    </row>
    <row r="15" spans="1:25" x14ac:dyDescent="0.25">
      <c r="A15" s="4">
        <v>42826</v>
      </c>
      <c r="C15" s="46">
        <f>+'[4]del Lago Monthly FY 17-18'!C14+'[1]17-18 Tioga Monthly '!C14+'[2]17-18 Rivers Monthly'!C14</f>
        <v>265534419.04000002</v>
      </c>
      <c r="D15" s="46">
        <f>+'[4]del Lago Monthly FY 17-18'!D14+'[1]17-18 Tioga Monthly '!D14+'[2]17-18 Rivers Monthly'!D14</f>
        <v>3336182.8099999996</v>
      </c>
      <c r="E15" s="46">
        <f>+'[4]del Lago Monthly FY 17-18'!E14+'[1]17-18 Tioga Monthly '!E14+'[2]17-18 Rivers Monthly'!E14</f>
        <v>241169666.993</v>
      </c>
      <c r="F15" s="46">
        <f>+'[4]del Lago Monthly FY 17-18'!H14+'[1]17-18 Tioga Monthly '!H14+'[2]17-18 Rivers Monthly'!H14</f>
        <v>21028569.236999996</v>
      </c>
      <c r="G15" s="46"/>
      <c r="H15" s="49">
        <f>+'[4]del Lago Monthly FY 17-18'!I14+'[1]17-18 Tioga Monthly '!I14+'[2]17-18 Rivers Monthly'!I14</f>
        <v>4053.4666666666667</v>
      </c>
      <c r="I15" s="46">
        <f>+F15/H15/30</f>
        <v>172.92662442847271</v>
      </c>
      <c r="J15" s="48"/>
      <c r="K15" s="48"/>
      <c r="L15" s="49">
        <f>+'[4]del Lago Monthly FY 17-18'!L14+'[1]17-18 Tioga Monthly '!L14+'[2]17-18 Rivers Monthly'!L14</f>
        <v>165.7</v>
      </c>
      <c r="M15" s="53">
        <f>+'[4]del Lago Monthly FY 17-18'!M14+'[1]17-18 Tioga Monthly '!M14+'[2]17-18 Rivers Monthly'!M14</f>
        <v>40485370.25</v>
      </c>
      <c r="N15" s="53">
        <f>+'[4]del Lago Monthly FY 17-18'!N14+'[1]17-18 Tioga Monthly '!N14+'[2]17-18 Rivers Monthly'!N14</f>
        <v>28415</v>
      </c>
      <c r="O15" s="53">
        <f>+'[4]del Lago Monthly FY 17-18'!O14+'[1]17-18 Tioga Monthly '!O14+'[2]17-18 Rivers Monthly'!O14</f>
        <v>8348246.2200000007</v>
      </c>
      <c r="P15" s="49"/>
      <c r="Q15" s="49">
        <f>+'[4]del Lago Monthly FY 17-18'!Q14+'[1]17-18 Tioga Monthly '!Q14+'[2]17-18 Rivers Monthly'!Q14</f>
        <v>39</v>
      </c>
      <c r="R15" s="53">
        <f>+'[4]del Lago Monthly FY 17-18'!R14+'[1]17-18 Tioga Monthly '!R14+'[2]17-18 Rivers Monthly'!R14</f>
        <v>866003</v>
      </c>
      <c r="S15" s="49"/>
      <c r="T15"/>
      <c r="U15" s="46">
        <f>+'[4]del Lago Monthly FY 17-18'!T14+'[1]17-18 Tioga Monthly '!T14+'[2]17-18 Rivers Monthly'!T14</f>
        <v>30242818.456999995</v>
      </c>
      <c r="V15" s="30">
        <f>+'[1]17-18 Tioga Monthly '!D36+'[2]17-18 Rivers Monthly'!D36+'[4]del Lago Monthly FY 17-18'!D36</f>
        <v>20989617.01571</v>
      </c>
      <c r="W15" s="30">
        <f>+'[1]17-18 Tioga Monthly '!E36+'[2]17-18 Rivers Monthly'!E36+'[4]del Lago Monthly FY 17-18'!E36</f>
        <v>9253201.4412899986</v>
      </c>
      <c r="X15" s="30"/>
      <c r="Y15" s="54">
        <f>+'[4]del Lago Monthly FY 17-18'!F36+'[1]17-18 Tioga Monthly '!F36+'[2]17-18 Rivers Monthly'!F36</f>
        <v>-12871.25</v>
      </c>
    </row>
    <row r="16" spans="1:25" x14ac:dyDescent="0.25">
      <c r="A16" s="4">
        <f>+A15+31</f>
        <v>42857</v>
      </c>
      <c r="C16" s="46">
        <f>+'[4]del Lago Monthly FY 17-18'!C15+'[1]17-18 Tioga Monthly '!C15+'[2]17-18 Rivers Monthly'!C15</f>
        <v>277356756.69</v>
      </c>
      <c r="D16" s="46">
        <f>+'[4]del Lago Monthly FY 17-18'!D15+'[1]17-18 Tioga Monthly '!D15+'[2]17-18 Rivers Monthly'!D15</f>
        <v>4149070.8399999994</v>
      </c>
      <c r="E16" s="46">
        <f>+'[4]del Lago Monthly FY 17-18'!E15+'[1]17-18 Tioga Monthly '!E15+'[2]17-18 Rivers Monthly'!E15</f>
        <v>252290571.68000001</v>
      </c>
      <c r="F16" s="46">
        <f>+'[4]del Lago Monthly FY 17-18'!H15+'[1]17-18 Tioga Monthly '!H15+'[2]17-18 Rivers Monthly'!H15</f>
        <v>20917114.169999994</v>
      </c>
      <c r="G16" s="46"/>
      <c r="H16" s="49">
        <f>+'[4]del Lago Monthly FY 17-18'!I15+'[1]17-18 Tioga Monthly '!I15+'[2]17-18 Rivers Monthly'!I15</f>
        <v>4060.8064516129034</v>
      </c>
      <c r="I16" s="46">
        <f>+F16/H16/31</f>
        <v>166.16049704095002</v>
      </c>
      <c r="J16" s="48"/>
      <c r="K16" s="48"/>
      <c r="L16" s="49">
        <f>+'[4]del Lago Monthly FY 17-18'!L15+'[1]17-18 Tioga Monthly '!L15+'[2]17-18 Rivers Monthly'!L15</f>
        <v>181.67741935483872</v>
      </c>
      <c r="M16" s="53">
        <f>+'[4]del Lago Monthly FY 17-18'!M15+'[1]17-18 Tioga Monthly '!M15+'[2]17-18 Rivers Monthly'!M15</f>
        <v>38377501.5</v>
      </c>
      <c r="N16" s="53">
        <f>+'[4]del Lago Monthly FY 17-18'!N15+'[1]17-18 Tioga Monthly '!N15+'[2]17-18 Rivers Monthly'!N15</f>
        <v>130790</v>
      </c>
      <c r="O16" s="53">
        <f>+'[4]del Lago Monthly FY 17-18'!O15+'[1]17-18 Tioga Monthly '!O15+'[2]17-18 Rivers Monthly'!O15</f>
        <v>7832218.4399999995</v>
      </c>
      <c r="P16" s="49"/>
      <c r="Q16" s="49">
        <f>+'[4]del Lago Monthly FY 17-18'!Q15+'[1]17-18 Tioga Monthly '!Q15+'[2]17-18 Rivers Monthly'!Q15</f>
        <v>41.290322580645167</v>
      </c>
      <c r="R16" s="53">
        <f>+'[4]del Lago Monthly FY 17-18'!R15+'[1]17-18 Tioga Monthly '!R15+'[2]17-18 Rivers Monthly'!R15</f>
        <v>860778.25</v>
      </c>
      <c r="S16" s="49"/>
      <c r="T16"/>
      <c r="U16" s="46">
        <f>+'[4]del Lago Monthly FY 17-18'!T15+'[1]17-18 Tioga Monthly '!T15+'[2]17-18 Rivers Monthly'!T15</f>
        <v>29610110.859999996</v>
      </c>
      <c r="V16" s="30">
        <f>+'[1]17-18 Tioga Monthly '!D37+'[2]17-18 Rivers Monthly'!D37+'[4]del Lago Monthly FY 17-18'!D37</f>
        <v>20465571.659299999</v>
      </c>
      <c r="W16" s="30">
        <f>+'[1]17-18 Tioga Monthly '!E37+'[2]17-18 Rivers Monthly'!E37+'[4]del Lago Monthly FY 17-18'!E37</f>
        <v>9144539.2006999981</v>
      </c>
      <c r="X16" s="30"/>
      <c r="Y16" s="30">
        <f>+'[4]del Lago Monthly FY 17-18'!F37+'[1]17-18 Tioga Monthly '!F37+'[2]17-18 Rivers Monthly'!F37</f>
        <v>0</v>
      </c>
    </row>
    <row r="17" spans="1:25" x14ac:dyDescent="0.25">
      <c r="A17" s="4">
        <f t="shared" ref="A17:A26" si="0">+A16+31</f>
        <v>42888</v>
      </c>
      <c r="C17" s="46">
        <f>+'[4]del Lago Monthly FY 17-18'!C16+'[1]17-18 Tioga Monthly '!C16+'[2]17-18 Rivers Monthly'!C16</f>
        <v>257072400.77000001</v>
      </c>
      <c r="D17" s="46">
        <f>+'[4]del Lago Monthly FY 17-18'!D16+'[1]17-18 Tioga Monthly '!D16+'[2]17-18 Rivers Monthly'!D16</f>
        <v>3776863.85</v>
      </c>
      <c r="E17" s="46">
        <f>+'[4]del Lago Monthly FY 17-18'!E16+'[1]17-18 Tioga Monthly '!E16+'[2]17-18 Rivers Monthly'!E16</f>
        <v>233706258.45999998</v>
      </c>
      <c r="F17" s="46">
        <f>+'[4]del Lago Monthly FY 17-18'!H16+'[1]17-18 Tioga Monthly '!H16+'[2]17-18 Rivers Monthly'!H16</f>
        <v>19589278.460000001</v>
      </c>
      <c r="G17" s="46"/>
      <c r="H17" s="49">
        <f>+'[4]del Lago Monthly FY 17-18'!I16+'[1]17-18 Tioga Monthly '!I16+'[2]17-18 Rivers Monthly'!I16</f>
        <v>4050.1</v>
      </c>
      <c r="I17" s="46">
        <f t="shared" ref="I17:I22" si="1">+F17/H17/30</f>
        <v>161.22464844489437</v>
      </c>
      <c r="J17" s="48"/>
      <c r="K17" s="48"/>
      <c r="L17" s="49">
        <f>+'[4]del Lago Monthly FY 17-18'!L16+'[1]17-18 Tioga Monthly '!L16+'[2]17-18 Rivers Monthly'!L16</f>
        <v>184</v>
      </c>
      <c r="M17" s="53">
        <f>+'[4]del Lago Monthly FY 17-18'!M16+'[1]17-18 Tioga Monthly '!M16+'[2]17-18 Rivers Monthly'!M16</f>
        <v>35826302.810000002</v>
      </c>
      <c r="N17" s="53">
        <f>+'[4]del Lago Monthly FY 17-18'!N16+'[1]17-18 Tioga Monthly '!N16+'[2]17-18 Rivers Monthly'!N16</f>
        <v>184690</v>
      </c>
      <c r="O17" s="53">
        <f>+'[4]del Lago Monthly FY 17-18'!O16+'[1]17-18 Tioga Monthly '!O16+'[2]17-18 Rivers Monthly'!O16</f>
        <v>6559183.3999999994</v>
      </c>
      <c r="P17" s="49"/>
      <c r="Q17" s="49">
        <f>+'[4]del Lago Monthly FY 17-18'!Q16+'[1]17-18 Tioga Monthly '!Q16+'[2]17-18 Rivers Monthly'!Q16</f>
        <v>42</v>
      </c>
      <c r="R17" s="53">
        <f>+'[4]del Lago Monthly FY 17-18'!R16+'[1]17-18 Tioga Monthly '!R16+'[2]17-18 Rivers Monthly'!R16</f>
        <v>717398</v>
      </c>
      <c r="S17" s="49"/>
      <c r="T17"/>
      <c r="U17" s="46">
        <f>+'[4]del Lago Monthly FY 17-18'!T16+'[1]17-18 Tioga Monthly '!T16+'[2]17-18 Rivers Monthly'!T16</f>
        <v>26865859.859999999</v>
      </c>
      <c r="V17" s="30">
        <f>+'[1]17-18 Tioga Monthly '!D38+'[2]17-18 Rivers Monthly'!D38+'[4]del Lago Monthly FY 17-18'!D38</f>
        <v>18385707.028999999</v>
      </c>
      <c r="W17" s="30">
        <f>+'[1]17-18 Tioga Monthly '!E38+'[2]17-18 Rivers Monthly'!E38+'[4]del Lago Monthly FY 17-18'!E38</f>
        <v>8480152.8310000002</v>
      </c>
      <c r="X17" s="30"/>
      <c r="Y17" s="30">
        <f>+'[4]del Lago Monthly FY 17-18'!F38+'[1]17-18 Tioga Monthly '!F38+'[2]17-18 Rivers Monthly'!F38</f>
        <v>0</v>
      </c>
    </row>
    <row r="18" spans="1:25" x14ac:dyDescent="0.25">
      <c r="A18" s="4">
        <f t="shared" si="0"/>
        <v>42919</v>
      </c>
      <c r="C18" s="46">
        <f>+'[4]del Lago Monthly FY 17-18'!C17+'[1]17-18 Tioga Monthly '!C17+'[2]17-18 Rivers Monthly'!C17</f>
        <v>313581981.96099997</v>
      </c>
      <c r="D18" s="46">
        <f>+'[4]del Lago Monthly FY 17-18'!D17+'[1]17-18 Tioga Monthly '!D17+'[2]17-18 Rivers Monthly'!D17</f>
        <v>5322667.2700000005</v>
      </c>
      <c r="E18" s="46">
        <f>+'[4]del Lago Monthly FY 17-18'!E17+'[1]17-18 Tioga Monthly '!E17+'[2]17-18 Rivers Monthly'!E17</f>
        <v>285102937.08999997</v>
      </c>
      <c r="F18" s="46">
        <f>+'[4]del Lago Monthly FY 17-18'!H17+'[1]17-18 Tioga Monthly '!H17+'[2]17-18 Rivers Monthly'!H17</f>
        <v>23203798.771000005</v>
      </c>
      <c r="G18" s="46"/>
      <c r="H18" s="49">
        <f>+'[4]del Lago Monthly FY 17-18'!I17+'[1]17-18 Tioga Monthly '!I17+'[2]17-18 Rivers Monthly'!I17</f>
        <v>4050</v>
      </c>
      <c r="I18" s="46">
        <f>+F18/H18/31</f>
        <v>184.81719451214661</v>
      </c>
      <c r="J18" s="48"/>
      <c r="K18" s="48"/>
      <c r="L18" s="49">
        <f>+'[4]del Lago Monthly FY 17-18'!L17+'[1]17-18 Tioga Monthly '!L17+'[2]17-18 Rivers Monthly'!L17</f>
        <v>184</v>
      </c>
      <c r="M18" s="53">
        <f>+'[4]del Lago Monthly FY 17-18'!M17+'[1]17-18 Tioga Monthly '!M17+'[2]17-18 Rivers Monthly'!M17</f>
        <v>39964307.659999996</v>
      </c>
      <c r="N18" s="53">
        <f>+'[4]del Lago Monthly FY 17-18'!N17+'[1]17-18 Tioga Monthly '!N17+'[2]17-18 Rivers Monthly'!N17</f>
        <v>402650</v>
      </c>
      <c r="O18" s="53">
        <f>+'[4]del Lago Monthly FY 17-18'!O17+'[1]17-18 Tioga Monthly '!O17+'[2]17-18 Rivers Monthly'!O17</f>
        <v>8425833.2100000009</v>
      </c>
      <c r="P18" s="49"/>
      <c r="Q18" s="49">
        <f>+'[4]del Lago Monthly FY 17-18'!Q17+'[1]17-18 Tioga Monthly '!Q17+'[2]17-18 Rivers Monthly'!Q17</f>
        <v>42</v>
      </c>
      <c r="R18" s="53">
        <f>+'[4]del Lago Monthly FY 17-18'!R17+'[1]17-18 Tioga Monthly '!R17+'[2]17-18 Rivers Monthly'!R17</f>
        <v>764943</v>
      </c>
      <c r="S18" s="49"/>
      <c r="T18"/>
      <c r="U18" s="46">
        <f>+'[4]del Lago Monthly FY 17-18'!T17+'[1]17-18 Tioga Monthly '!T17+'[2]17-18 Rivers Monthly'!T17</f>
        <v>32394574.981000002</v>
      </c>
      <c r="V18" s="30">
        <f>+'[1]17-18 Tioga Monthly '!D39+'[2]17-18 Rivers Monthly'!D39+'[4]del Lago Monthly FY 17-18'!D39</f>
        <v>22254191.609850004</v>
      </c>
      <c r="W18" s="30">
        <f>+'[1]17-18 Tioga Monthly '!E39+'[2]17-18 Rivers Monthly'!E39+'[4]del Lago Monthly FY 17-18'!E39</f>
        <v>10140383.371150002</v>
      </c>
      <c r="X18" s="30"/>
      <c r="Y18" s="30">
        <f>+'[4]del Lago Monthly FY 17-18'!F39+'[1]17-18 Tioga Monthly '!F39+'[2]17-18 Rivers Monthly'!F39</f>
        <v>7475.85</v>
      </c>
    </row>
    <row r="19" spans="1:25" x14ac:dyDescent="0.25">
      <c r="A19" s="4">
        <f t="shared" si="0"/>
        <v>42950</v>
      </c>
      <c r="C19" s="46">
        <f>+'[4]del Lago Monthly FY 17-18'!C18+'[1]17-18 Tioga Monthly '!C18+'[2]17-18 Rivers Monthly'!C18</f>
        <v>294958363.56999999</v>
      </c>
      <c r="D19" s="46">
        <f>+'[4]del Lago Monthly FY 17-18'!D18+'[1]17-18 Tioga Monthly '!D18+'[2]17-18 Rivers Monthly'!D18</f>
        <v>4767859.9499999993</v>
      </c>
      <c r="E19" s="46">
        <f>+'[4]del Lago Monthly FY 17-18'!E18+'[1]17-18 Tioga Monthly '!E18+'[2]17-18 Rivers Monthly'!E18</f>
        <v>268718210.86999995</v>
      </c>
      <c r="F19" s="46">
        <f>+'[4]del Lago Monthly FY 17-18'!H18+'[1]17-18 Tioga Monthly '!H18+'[2]17-18 Rivers Monthly'!H18</f>
        <v>21536359.749999996</v>
      </c>
      <c r="G19" s="46"/>
      <c r="H19" s="49">
        <f>+'[4]del Lago Monthly FY 17-18'!I18+'[1]17-18 Tioga Monthly '!I18+'[2]17-18 Rivers Monthly'!I18</f>
        <v>4046.7741935483873</v>
      </c>
      <c r="I19" s="46">
        <f>+F19/H19/31</f>
        <v>171.67285571941008</v>
      </c>
      <c r="J19" s="48"/>
      <c r="K19" s="48"/>
      <c r="L19" s="49">
        <f>+'[4]del Lago Monthly FY 17-18'!L18+'[1]17-18 Tioga Monthly '!L18+'[2]17-18 Rivers Monthly'!L18</f>
        <v>184</v>
      </c>
      <c r="M19" s="53">
        <f>+'[4]del Lago Monthly FY 17-18'!M18+'[1]17-18 Tioga Monthly '!M18+'[2]17-18 Rivers Monthly'!M18</f>
        <v>38261741.43</v>
      </c>
      <c r="N19" s="53">
        <f>+'[4]del Lago Monthly FY 17-18'!N18+'[1]17-18 Tioga Monthly '!N18+'[2]17-18 Rivers Monthly'!N18</f>
        <v>479965</v>
      </c>
      <c r="O19" s="53">
        <f>+'[4]del Lago Monthly FY 17-18'!O18+'[1]17-18 Tioga Monthly '!O18+'[2]17-18 Rivers Monthly'!O18</f>
        <v>7179047.9900000002</v>
      </c>
      <c r="P19" s="49"/>
      <c r="Q19" s="49">
        <f>+'[4]del Lago Monthly FY 17-18'!Q18+'[1]17-18 Tioga Monthly '!Q18+'[2]17-18 Rivers Monthly'!Q18</f>
        <v>42</v>
      </c>
      <c r="R19" s="53">
        <f>+'[4]del Lago Monthly FY 17-18'!R18+'[1]17-18 Tioga Monthly '!R18+'[2]17-18 Rivers Monthly'!R18</f>
        <v>739920</v>
      </c>
      <c r="S19" s="49"/>
      <c r="T19"/>
      <c r="U19" s="46">
        <f>+'[4]del Lago Monthly FY 17-18'!T18+'[1]17-18 Tioga Monthly '!T18+'[2]17-18 Rivers Monthly'!T18</f>
        <v>29455327.739999995</v>
      </c>
      <c r="V19" s="30">
        <f>+'[1]17-18 Tioga Monthly '!D40+'[2]17-18 Rivers Monthly'!D40+'[4]del Lago Monthly FY 17-18'!D40</f>
        <v>20082186.247099996</v>
      </c>
      <c r="W19" s="30">
        <f>+'[1]17-18 Tioga Monthly '!E40+'[2]17-18 Rivers Monthly'!E40+'[4]del Lago Monthly FY 17-18'!E40</f>
        <v>9373141.492899999</v>
      </c>
      <c r="X19" s="30"/>
      <c r="Y19" s="30">
        <f>+'[4]del Lago Monthly FY 17-18'!F40+'[1]17-18 Tioga Monthly '!F40+'[2]17-18 Rivers Monthly'!F40</f>
        <v>0</v>
      </c>
    </row>
    <row r="20" spans="1:25" x14ac:dyDescent="0.25">
      <c r="A20" s="4">
        <f t="shared" si="0"/>
        <v>42981</v>
      </c>
      <c r="C20" s="46">
        <f>+'[4]del Lago Monthly FY 17-18'!C19+'[1]17-18 Tioga Monthly '!C19+'[2]17-18 Rivers Monthly'!C19</f>
        <v>299205357.05000007</v>
      </c>
      <c r="D20" s="46">
        <f>+'[4]del Lago Monthly FY 17-18'!D19+'[1]17-18 Tioga Monthly '!D19+'[2]17-18 Rivers Monthly'!D19</f>
        <v>4623155.379999999</v>
      </c>
      <c r="E20" s="46">
        <f>+'[4]del Lago Monthly FY 17-18'!E19+'[1]17-18 Tioga Monthly '!E19+'[2]17-18 Rivers Monthly'!E19</f>
        <v>272685765.23999995</v>
      </c>
      <c r="F20" s="46">
        <f>+'[4]del Lago Monthly FY 17-18'!H19+'[1]17-18 Tioga Monthly '!H19+'[2]17-18 Rivers Monthly'!H19</f>
        <v>21968327.430000003</v>
      </c>
      <c r="G20" s="46"/>
      <c r="H20" s="49">
        <f>+'[4]del Lago Monthly FY 17-18'!I19+'[1]17-18 Tioga Monthly '!I19+'[2]17-18 Rivers Monthly'!I19</f>
        <v>4050</v>
      </c>
      <c r="I20" s="46">
        <f t="shared" si="1"/>
        <v>180.80927925925928</v>
      </c>
      <c r="J20" s="48"/>
      <c r="K20" s="48"/>
      <c r="L20" s="49">
        <f>+'[4]del Lago Monthly FY 17-18'!L19+'[1]17-18 Tioga Monthly '!L19+'[2]17-18 Rivers Monthly'!L19</f>
        <v>184</v>
      </c>
      <c r="M20" s="53">
        <f>+'[4]del Lago Monthly FY 17-18'!M19+'[1]17-18 Tioga Monthly '!M19+'[2]17-18 Rivers Monthly'!M19</f>
        <v>35750393.5</v>
      </c>
      <c r="N20" s="53">
        <f>+'[4]del Lago Monthly FY 17-18'!N19+'[1]17-18 Tioga Monthly '!N19+'[2]17-18 Rivers Monthly'!N19</f>
        <v>627045</v>
      </c>
      <c r="O20" s="53">
        <f>+'[4]del Lago Monthly FY 17-18'!O19+'[1]17-18 Tioga Monthly '!O19+'[2]17-18 Rivers Monthly'!O19</f>
        <v>7290461.9500000002</v>
      </c>
      <c r="P20" s="49"/>
      <c r="Q20" s="57">
        <f>+'[4]del Lago Monthly FY 17-18'!Q19+'[1]17-18 Tioga Monthly '!Q19+'[2]17-18 Rivers Monthly'!Q19</f>
        <v>42</v>
      </c>
      <c r="R20" s="58">
        <f>+'[4]del Lago Monthly FY 17-18'!R19+'[1]17-18 Tioga Monthly '!R19+'[2]17-18 Rivers Monthly'!R19</f>
        <v>673029</v>
      </c>
      <c r="S20" s="49"/>
      <c r="T20"/>
      <c r="U20" s="46">
        <f>+'[4]del Lago Monthly FY 17-18'!T19+'[1]17-18 Tioga Monthly '!T19+'[2]17-18 Rivers Monthly'!T19</f>
        <v>29931818.380000003</v>
      </c>
      <c r="V20" s="30">
        <f>+'[1]17-18 Tioga Monthly '!D41+'[2]17-18 Rivers Monthly'!D41+'[4]del Lago Monthly FY 17-18'!D41</f>
        <v>20390862.465500005</v>
      </c>
      <c r="W20" s="30">
        <f>+'[1]17-18 Tioga Monthly '!E41+'[2]17-18 Rivers Monthly'!E41+'[4]del Lago Monthly FY 17-18'!E41</f>
        <v>9540955.9145000018</v>
      </c>
      <c r="X20" s="30"/>
      <c r="Y20" s="54">
        <f>+'[4]del Lago Monthly FY 17-18'!F41+'[1]17-18 Tioga Monthly '!F41+'[2]17-18 Rivers Monthly'!F41</f>
        <v>0</v>
      </c>
    </row>
    <row r="21" spans="1:25" x14ac:dyDescent="0.25">
      <c r="A21" s="4">
        <f t="shared" si="0"/>
        <v>43012</v>
      </c>
      <c r="C21" s="46">
        <f>+'[4]del Lago Monthly FY 17-18'!C20+'[1]17-18 Tioga Monthly '!C20+'[2]17-18 Rivers Monthly'!C20</f>
        <v>297719487.80000007</v>
      </c>
      <c r="D21" s="46">
        <f>+'[4]del Lago Monthly FY 17-18'!D20+'[1]17-18 Tioga Monthly '!D20+'[2]17-18 Rivers Monthly'!D20</f>
        <v>4365012.96</v>
      </c>
      <c r="E21" s="46">
        <f>+'[4]del Lago Monthly FY 17-18'!E20+'[1]17-18 Tioga Monthly '!E20+'[2]17-18 Rivers Monthly'!E20</f>
        <v>271620024.55000001</v>
      </c>
      <c r="F21" s="46">
        <f>+'[4]del Lago Monthly FY 17-18'!H20+'[1]17-18 Tioga Monthly '!H20+'[2]17-18 Rivers Monthly'!H20</f>
        <v>21865858.68</v>
      </c>
      <c r="G21" s="46"/>
      <c r="H21" s="49">
        <f>+'[4]del Lago Monthly FY 17-18'!I20+'[1]17-18 Tioga Monthly '!I20+'[2]17-18 Rivers Monthly'!I20</f>
        <v>4050</v>
      </c>
      <c r="I21" s="46">
        <f>+F21/H21/31</f>
        <v>174.16056296296296</v>
      </c>
      <c r="J21" s="48"/>
      <c r="K21" s="48"/>
      <c r="L21" s="49">
        <f>+'[4]del Lago Monthly FY 17-18'!L20+'[1]17-18 Tioga Monthly '!L20+'[2]17-18 Rivers Monthly'!L20</f>
        <v>184</v>
      </c>
      <c r="M21" s="53">
        <f>+'[4]del Lago Monthly FY 17-18'!M20+'[1]17-18 Tioga Monthly '!M20+'[2]17-18 Rivers Monthly'!M20</f>
        <v>37049873.369999997</v>
      </c>
      <c r="N21" s="53">
        <f>+'[4]del Lago Monthly FY 17-18'!N20+'[1]17-18 Tioga Monthly '!N20+'[2]17-18 Rivers Monthly'!N20</f>
        <v>503115</v>
      </c>
      <c r="O21" s="53">
        <f>+'[4]del Lago Monthly FY 17-18'!O20+'[1]17-18 Tioga Monthly '!O20+'[2]17-18 Rivers Monthly'!O20</f>
        <v>6530454.6200000001</v>
      </c>
      <c r="P21" s="49"/>
      <c r="Q21" s="57">
        <f>+'[4]del Lago Monthly FY 17-18'!Q20+'[1]17-18 Tioga Monthly '!Q20+'[2]17-18 Rivers Monthly'!Q20</f>
        <v>42</v>
      </c>
      <c r="R21" s="58">
        <f>+'[4]del Lago Monthly FY 17-18'!R20+'[1]17-18 Tioga Monthly '!R20+'[2]17-18 Rivers Monthly'!R20</f>
        <v>637735</v>
      </c>
      <c r="S21" s="49"/>
      <c r="T21"/>
      <c r="U21" s="46">
        <f>+'[4]del Lago Monthly FY 17-18'!T20+'[1]17-18 Tioga Monthly '!T20+'[2]17-18 Rivers Monthly'!T20</f>
        <v>29034048.300000001</v>
      </c>
      <c r="V21" s="30">
        <f>+'[1]17-18 Tioga Monthly '!D42+'[2]17-18 Rivers Monthly'!D42+'[4]del Lago Monthly FY 17-18'!D42</f>
        <v>19609493.235200003</v>
      </c>
      <c r="W21" s="30">
        <f>+'[1]17-18 Tioga Monthly '!E42+'[2]17-18 Rivers Monthly'!E42+'[4]del Lago Monthly FY 17-18'!E42</f>
        <v>9424555.0647999998</v>
      </c>
      <c r="X21" s="30"/>
      <c r="Y21" s="30">
        <f>+'[4]del Lago Monthly FY 17-18'!F42+'[1]17-18 Tioga Monthly '!F42+'[2]17-18 Rivers Monthly'!F42</f>
        <v>0</v>
      </c>
    </row>
    <row r="22" spans="1:25" x14ac:dyDescent="0.25">
      <c r="A22" s="4">
        <f t="shared" si="0"/>
        <v>43043</v>
      </c>
      <c r="C22" s="46">
        <f>+'[4]del Lago Monthly FY 17-18'!C21+'[1]17-18 Tioga Monthly '!C21+'[2]17-18 Rivers Monthly'!C21</f>
        <v>278782440.542</v>
      </c>
      <c r="D22" s="46">
        <f>+'[4]del Lago Monthly FY 17-18'!D21+'[1]17-18 Tioga Monthly '!D21+'[2]17-18 Rivers Monthly'!D21</f>
        <v>3506859.64</v>
      </c>
      <c r="E22" s="46">
        <f>+'[4]del Lago Monthly FY 17-18'!E21+'[1]17-18 Tioga Monthly '!E21+'[2]17-18 Rivers Monthly'!E21</f>
        <v>254573460.65999997</v>
      </c>
      <c r="F22" s="46">
        <f>+'[4]del Lago Monthly FY 17-18'!H21+'[1]17-18 Tioga Monthly '!H21+'[2]17-18 Rivers Monthly'!H21</f>
        <v>20815524.872000001</v>
      </c>
      <c r="G22" s="46"/>
      <c r="H22" s="49">
        <f>+'[4]del Lago Monthly FY 17-18'!I21+'[1]17-18 Tioga Monthly '!I21+'[2]17-18 Rivers Monthly'!I21</f>
        <v>4050</v>
      </c>
      <c r="I22" s="46">
        <f t="shared" si="1"/>
        <v>171.32119236213993</v>
      </c>
      <c r="J22" s="48"/>
      <c r="K22" s="48"/>
      <c r="L22" s="49">
        <f>+'[4]del Lago Monthly FY 17-18'!L21+'[1]17-18 Tioga Monthly '!L21+'[2]17-18 Rivers Monthly'!L21</f>
        <v>184</v>
      </c>
      <c r="M22" s="53">
        <f>+'[4]del Lago Monthly FY 17-18'!M21+'[1]17-18 Tioga Monthly '!M21+'[2]17-18 Rivers Monthly'!M21</f>
        <v>37930335.350000001</v>
      </c>
      <c r="N22" s="53">
        <f>+'[4]del Lago Monthly FY 17-18'!N21+'[1]17-18 Tioga Monthly '!N21+'[2]17-18 Rivers Monthly'!N21</f>
        <v>424225</v>
      </c>
      <c r="O22" s="53">
        <f>+'[4]del Lago Monthly FY 17-18'!O21+'[1]17-18 Tioga Monthly '!O21+'[2]17-18 Rivers Monthly'!O21</f>
        <v>7682673.3499999996</v>
      </c>
      <c r="P22" s="49"/>
      <c r="Q22" s="57">
        <f>+'[4]del Lago Monthly FY 17-18'!Q21+'[1]17-18 Tioga Monthly '!Q21+'[2]17-18 Rivers Monthly'!Q21</f>
        <v>42</v>
      </c>
      <c r="R22" s="58">
        <f>+'[4]del Lago Monthly FY 17-18'!R21+'[1]17-18 Tioga Monthly '!R21+'[2]17-18 Rivers Monthly'!R21</f>
        <v>683990</v>
      </c>
      <c r="S22" s="49"/>
      <c r="T22"/>
      <c r="U22" s="46">
        <f>+'[4]del Lago Monthly FY 17-18'!T21+'[1]17-18 Tioga Monthly '!T21+'[2]17-18 Rivers Monthly'!T21</f>
        <v>29182188.222000003</v>
      </c>
      <c r="V22" s="30">
        <f>+'[1]17-18 Tioga Monthly '!D43+'[2]17-18 Rivers Monthly'!D43+'[4]del Lago Monthly FY 17-18'!D43</f>
        <v>20022647.653960001</v>
      </c>
      <c r="W22" s="30">
        <f>+'[1]17-18 Tioga Monthly '!E43+'[2]17-18 Rivers Monthly'!E43+'[4]del Lago Monthly FY 17-18'!E43</f>
        <v>9159540.5680400003</v>
      </c>
      <c r="X22" s="30"/>
      <c r="Y22" s="30">
        <f>+'[4]del Lago Monthly FY 17-18'!F43+'[1]17-18 Tioga Monthly '!F43+'[2]17-18 Rivers Monthly'!F43</f>
        <v>2791.65</v>
      </c>
    </row>
    <row r="23" spans="1:25" x14ac:dyDescent="0.25">
      <c r="A23" s="4">
        <f t="shared" si="0"/>
        <v>43074</v>
      </c>
      <c r="C23" s="46">
        <f>+'[4]del Lago Monthly FY 17-18'!C22+'[1]17-18 Tioga Monthly '!C22+'[2]17-18 Rivers Monthly'!C22</f>
        <v>268962988.36000001</v>
      </c>
      <c r="D23" s="46">
        <f>+'[4]del Lago Monthly FY 17-18'!D22+'[1]17-18 Tioga Monthly '!D22+'[2]17-18 Rivers Monthly'!D22</f>
        <v>3127276.1399999997</v>
      </c>
      <c r="E23" s="46">
        <f>+'[4]del Lago Monthly FY 17-18'!E22+'[1]17-18 Tioga Monthly '!E22+'[2]17-18 Rivers Monthly'!E22</f>
        <v>245603469.13999999</v>
      </c>
      <c r="F23" s="46">
        <f>+'[4]del Lago Monthly FY 17-18'!H22+'[1]17-18 Tioga Monthly '!H22+'[2]17-18 Rivers Monthly'!H22</f>
        <v>20260024.769999996</v>
      </c>
      <c r="G23" s="46"/>
      <c r="H23" s="49">
        <f>+'[4]del Lago Monthly FY 17-18'!I22+'[1]17-18 Tioga Monthly '!I22+'[2]17-18 Rivers Monthly'!I22</f>
        <v>4050</v>
      </c>
      <c r="I23" s="46">
        <f>+F23/H23/31</f>
        <v>161.37016941457583</v>
      </c>
      <c r="J23" s="48"/>
      <c r="K23" s="48"/>
      <c r="L23" s="49">
        <f>+'[4]del Lago Monthly FY 17-18'!L22+'[1]17-18 Tioga Monthly '!L22+'[2]17-18 Rivers Monthly'!L22</f>
        <v>184</v>
      </c>
      <c r="M23" s="53">
        <f>+'[4]del Lago Monthly FY 17-18'!M22+'[1]17-18 Tioga Monthly '!M22+'[2]17-18 Rivers Monthly'!M22</f>
        <v>37171035.560000002</v>
      </c>
      <c r="N23" s="53">
        <f>+'[4]del Lago Monthly FY 17-18'!N22+'[1]17-18 Tioga Monthly '!N22+'[2]17-18 Rivers Monthly'!N22</f>
        <v>499220</v>
      </c>
      <c r="O23" s="53">
        <f>+'[4]del Lago Monthly FY 17-18'!O22+'[1]17-18 Tioga Monthly '!O22+'[2]17-18 Rivers Monthly'!O22</f>
        <v>7451399.0599999996</v>
      </c>
      <c r="P23" s="49"/>
      <c r="Q23" s="57">
        <f>+'[4]del Lago Monthly FY 17-18'!Q22+'[1]17-18 Tioga Monthly '!Q22+'[2]17-18 Rivers Monthly'!Q22</f>
        <v>42</v>
      </c>
      <c r="R23" s="58">
        <f>+'[4]del Lago Monthly FY 17-18'!R22+'[1]17-18 Tioga Monthly '!R22+'[2]17-18 Rivers Monthly'!R22</f>
        <v>725005</v>
      </c>
      <c r="S23" s="49"/>
      <c r="T23"/>
      <c r="U23" s="46">
        <f>+'[4]del Lago Monthly FY 17-18'!T22+'[1]17-18 Tioga Monthly '!T22+'[2]17-18 Rivers Monthly'!T22</f>
        <v>28436428.829999994</v>
      </c>
      <c r="V23" s="30">
        <f>+'[1]17-18 Tioga Monthly '!D44+'[2]17-18 Rivers Monthly'!D44+'[4]del Lago Monthly FY 17-18'!D44</f>
        <v>19531025.243099999</v>
      </c>
      <c r="W23" s="30">
        <f>+'[1]17-18 Tioga Monthly '!E44+'[2]17-18 Rivers Monthly'!E44+'[4]del Lago Monthly FY 17-18'!E44</f>
        <v>8905403.5868999995</v>
      </c>
      <c r="X23" s="30">
        <v>13242.369999999999</v>
      </c>
      <c r="Y23" s="54">
        <f>+'[4]del Lago Monthly FY 17-18'!F44+'[1]17-18 Tioga Monthly '!F44+'[2]17-18 Rivers Monthly'!F44</f>
        <v>13242.37</v>
      </c>
    </row>
    <row r="24" spans="1:25" x14ac:dyDescent="0.25">
      <c r="A24" s="4">
        <f t="shared" si="0"/>
        <v>43105</v>
      </c>
      <c r="C24" s="46">
        <f>+'[4]del Lago Monthly FY 17-18'!C23+'[1]17-18 Tioga Monthly '!C23+'[2]17-18 Rivers Monthly'!C23</f>
        <v>260774579.90000001</v>
      </c>
      <c r="D24" s="46">
        <f>+'[4]del Lago Monthly FY 17-18'!D23+'[1]17-18 Tioga Monthly '!D23+'[2]17-18 Rivers Monthly'!D23</f>
        <v>2958813.4199999995</v>
      </c>
      <c r="E24" s="46">
        <f>+'[4]del Lago Monthly FY 17-18'!E23+'[1]17-18 Tioga Monthly '!E23+'[2]17-18 Rivers Monthly'!E23</f>
        <v>238278008.18000001</v>
      </c>
      <c r="F24" s="46">
        <f>+'[4]del Lago Monthly FY 17-18'!H23+'[1]17-18 Tioga Monthly '!H23+'[2]17-18 Rivers Monthly'!H23</f>
        <v>19656010.609999996</v>
      </c>
      <c r="G24" s="46"/>
      <c r="H24" s="49">
        <f>+'[4]del Lago Monthly FY 17-18'!I23+'[1]17-18 Tioga Monthly '!I23+'[2]17-18 Rivers Monthly'!I23</f>
        <v>4048.7096774193551</v>
      </c>
      <c r="I24" s="46">
        <f>+F24/H24/31</f>
        <v>156.60911967173925</v>
      </c>
      <c r="J24" s="48"/>
      <c r="K24" s="48"/>
      <c r="L24" s="49">
        <f>+'[4]del Lago Monthly FY 17-18'!L23+'[1]17-18 Tioga Monthly '!L23+'[2]17-18 Rivers Monthly'!L23</f>
        <v>184</v>
      </c>
      <c r="M24" s="53">
        <f>+'[4]del Lago Monthly FY 17-18'!M23+'[1]17-18 Tioga Monthly '!M23+'[2]17-18 Rivers Monthly'!M23</f>
        <v>34840096.689999998</v>
      </c>
      <c r="N24" s="53">
        <f>+'[4]del Lago Monthly FY 17-18'!N23+'[1]17-18 Tioga Monthly '!N23+'[2]17-18 Rivers Monthly'!N23</f>
        <v>467460</v>
      </c>
      <c r="O24" s="53">
        <f>+'[4]del Lago Monthly FY 17-18'!O23+'[1]17-18 Tioga Monthly '!O23+'[2]17-18 Rivers Monthly'!O23</f>
        <v>6918874.96</v>
      </c>
      <c r="P24" s="49"/>
      <c r="Q24" s="57">
        <f>+'[4]del Lago Monthly FY 17-18'!Q23+'[1]17-18 Tioga Monthly '!Q23+'[2]17-18 Rivers Monthly'!Q23</f>
        <v>42</v>
      </c>
      <c r="R24" s="58">
        <f>+'[4]del Lago Monthly FY 17-18'!R23+'[1]17-18 Tioga Monthly '!R23+'[2]17-18 Rivers Monthly'!R23</f>
        <v>747214</v>
      </c>
      <c r="S24" s="49"/>
      <c r="T24"/>
      <c r="U24" s="46">
        <f>+'[4]del Lago Monthly FY 17-18'!T23+'[1]17-18 Tioga Monthly '!T23+'[2]17-18 Rivers Monthly'!T23</f>
        <v>27322099.569999997</v>
      </c>
      <c r="V24" s="30">
        <f>+'[1]17-18 Tioga Monthly '!D45+'[2]17-18 Rivers Monthly'!D45+'[4]del Lago Monthly FY 17-18'!D45</f>
        <v>18692503.268299997</v>
      </c>
      <c r="W24" s="30">
        <f>+'[1]17-18 Tioga Monthly '!E45+'[2]17-18 Rivers Monthly'!E45+'[4]del Lago Monthly FY 17-18'!E45</f>
        <v>8629596.3016999997</v>
      </c>
      <c r="X24" s="30">
        <v>11381.420000000002</v>
      </c>
      <c r="Y24" s="54">
        <f>+'[4]del Lago Monthly FY 17-18'!F45+'[1]17-18 Tioga Monthly '!F45+'[2]17-18 Rivers Monthly'!F45</f>
        <v>5050.1499999999996</v>
      </c>
    </row>
    <row r="25" spans="1:25" x14ac:dyDescent="0.25">
      <c r="A25" s="4">
        <f t="shared" si="0"/>
        <v>43136</v>
      </c>
      <c r="C25" s="46">
        <f>+'[3]17-18 RW Catskills Monthly'!C24+'[4]del Lago Monthly FY 17-18'!C24+'[1]17-18 Tioga Monthly '!C24+'[2]17-18 Rivers Monthly'!C24</f>
        <v>391778627.15999997</v>
      </c>
      <c r="D25" s="46">
        <f>+'[3]17-18 RW Catskills Monthly'!D24+'[4]del Lago Monthly FY 17-18'!D24+'[1]17-18 Tioga Monthly '!D24+'[2]17-18 Rivers Monthly'!D24</f>
        <v>6822730.6499999985</v>
      </c>
      <c r="E25" s="46">
        <f>+'[3]17-18 RW Catskills Monthly'!E24+'[4]del Lago Monthly FY 17-18'!E24+'[1]17-18 Tioga Monthly '!E24+'[2]17-18 Rivers Monthly'!E24</f>
        <v>357572584.07999998</v>
      </c>
      <c r="F25" s="46">
        <f>+'[3]17-18 RW Catskills Monthly'!H24+'[4]del Lago Monthly FY 17-18'!H24+'[1]17-18 Tioga Monthly '!H24+'[2]17-18 Rivers Monthly'!H24</f>
        <v>27488058.820000008</v>
      </c>
      <c r="G25" s="46"/>
      <c r="H25" s="49">
        <f>+'[3]17-18 RW Catskills Monthly'!I24+'[4]del Lago Monthly FY 17-18'!I24+'[1]17-18 Tioga Monthly '!I24+'[2]17-18 Rivers Monthly'!I24</f>
        <v>6197.25</v>
      </c>
      <c r="I25" s="46">
        <f>+F25/H25/28</f>
        <v>158.41161586648462</v>
      </c>
      <c r="J25" s="48"/>
      <c r="K25" s="48"/>
      <c r="L25" s="49">
        <f>+'[3]17-18 RW Catskills Monthly'!L24+'[4]del Lago Monthly FY 17-18'!L24+'[1]17-18 Tioga Monthly '!L24+'[2]17-18 Rivers Monthly'!L24</f>
        <v>296</v>
      </c>
      <c r="M25" s="53">
        <f>+'[3]17-18 RW Catskills Monthly'!M24+'[4]del Lago Monthly FY 17-18'!M24+'[1]17-18 Tioga Monthly '!M24+'[2]17-18 Rivers Monthly'!M24</f>
        <v>61587616.709999993</v>
      </c>
      <c r="N25" s="53">
        <f>+'[3]17-18 RW Catskills Monthly'!N24+'[4]del Lago Monthly FY 17-18'!N24+'[1]17-18 Tioga Monthly '!N24+'[2]17-18 Rivers Monthly'!N24</f>
        <v>493840</v>
      </c>
      <c r="O25" s="53">
        <f>+'[3]17-18 RW Catskills Monthly'!O24+'[4]del Lago Monthly FY 17-18'!O24+'[1]17-18 Tioga Monthly '!O24+'[2]17-18 Rivers Monthly'!O24</f>
        <v>10690546.16</v>
      </c>
      <c r="P25" s="49"/>
      <c r="Q25" s="57">
        <f>+'[3]17-18 RW Catskills Monthly'!Q24+'[4]del Lago Monthly FY 17-18'!Q24+'[1]17-18 Tioga Monthly '!Q24+'[2]17-18 Rivers Monthly'!Q24</f>
        <v>42</v>
      </c>
      <c r="R25" s="58">
        <f>+'[3]17-18 RW Catskills Monthly'!R24+'[4]del Lago Monthly FY 17-18'!R24+'[1]17-18 Tioga Monthly '!R24+'[2]17-18 Rivers Monthly'!R24</f>
        <v>823980.01</v>
      </c>
      <c r="S25" s="49"/>
      <c r="T25"/>
      <c r="U25" s="46">
        <f>+'[3]17-18 RW Catskills Monthly'!T24+'[4]del Lago Monthly FY 17-18'!T24+'[1]17-18 Tioga Monthly '!T24+'[2]17-18 Rivers Monthly'!T24</f>
        <v>39002584.99000001</v>
      </c>
      <c r="V25" s="30">
        <f>+'[1]17-18 Tioga Monthly '!D46+'[2]17-18 Rivers Monthly'!D46+'[3]17-18 RW Catskills Monthly'!D46+'[4]del Lago Monthly FY 17-18'!D46</f>
        <v>26914227.278600004</v>
      </c>
      <c r="W25" s="30">
        <f>+'[1]17-18 Tioga Monthly '!E46+'[2]17-18 Rivers Monthly'!E46+'[3]17-18 RW Catskills Monthly'!E46+'[4]del Lago Monthly FY 17-18'!E46</f>
        <v>12088357.711400002</v>
      </c>
      <c r="X25" s="30">
        <v>102990.93</v>
      </c>
      <c r="Y25" s="54">
        <f>+'[3]17-18 RW Catskills Monthly'!F46+'[4]del Lago Monthly FY 17-18'!F46+'[1]17-18 Tioga Monthly '!F46+'[2]17-18 Rivers Monthly'!F46</f>
        <v>117990.93000000001</v>
      </c>
    </row>
    <row r="26" spans="1:25" x14ac:dyDescent="0.25">
      <c r="A26" s="4">
        <f t="shared" si="0"/>
        <v>43167</v>
      </c>
      <c r="C26" s="46">
        <f>+'[3]17-18 RW Catskills Monthly'!C25+'[4]del Lago Monthly FY 17-18'!C25+'[1]17-18 Tioga Monthly '!C25+'[2]17-18 Rivers Monthly'!C25</f>
        <v>440305104.85000002</v>
      </c>
      <c r="D26" s="46">
        <f>+'[3]17-18 RW Catskills Monthly'!D25+'[4]del Lago Monthly FY 17-18'!D25+'[1]17-18 Tioga Monthly '!D25+'[2]17-18 Rivers Monthly'!D25</f>
        <v>7092888.0200000005</v>
      </c>
      <c r="E26" s="46">
        <f>+'[3]17-18 RW Catskills Monthly'!E25+'[4]del Lago Monthly FY 17-18'!E25+'[1]17-18 Tioga Monthly '!E25+'[2]17-18 Rivers Monthly'!E25</f>
        <v>402030688.77999991</v>
      </c>
      <c r="F26" s="46">
        <f>+'[3]17-18 RW Catskills Monthly'!H25+'[4]del Lago Monthly FY 17-18'!H25+'[1]17-18 Tioga Monthly '!H25+'[2]17-18 Rivers Monthly'!H25</f>
        <v>31275784.699999996</v>
      </c>
      <c r="G26" s="46"/>
      <c r="H26" s="49">
        <f>+'[3]17-18 RW Catskills Monthly'!I25+'[4]del Lago Monthly FY 17-18'!I25+'[1]17-18 Tioga Monthly '!I25+'[2]17-18 Rivers Monthly'!I25</f>
        <v>6201.1290322580644</v>
      </c>
      <c r="I26" s="46">
        <f>+F26/H26/31</f>
        <v>162.69557936900145</v>
      </c>
      <c r="J26" s="48"/>
      <c r="K26" s="48"/>
      <c r="L26" s="49">
        <f>+'[3]17-18 RW Catskills Monthly'!L25+'[4]del Lago Monthly FY 17-18'!L25+'[1]17-18 Tioga Monthly '!L25+'[2]17-18 Rivers Monthly'!L25</f>
        <v>296</v>
      </c>
      <c r="M26" s="53">
        <f>+'[3]17-18 RW Catskills Monthly'!M25+'[4]del Lago Monthly FY 17-18'!M25+'[1]17-18 Tioga Monthly '!M25+'[2]17-18 Rivers Monthly'!M25</f>
        <v>77974704.169999987</v>
      </c>
      <c r="N26" s="53">
        <f>+'[3]17-18 RW Catskills Monthly'!N25+'[4]del Lago Monthly FY 17-18'!N25+'[1]17-18 Tioga Monthly '!N25+'[2]17-18 Rivers Monthly'!N25</f>
        <v>684180</v>
      </c>
      <c r="O26" s="53">
        <f>+'[3]17-18 RW Catskills Monthly'!O25+'[4]del Lago Monthly FY 17-18'!O25+'[1]17-18 Tioga Monthly '!O25+'[2]17-18 Rivers Monthly'!O25</f>
        <v>14206629.470000001</v>
      </c>
      <c r="P26" s="49"/>
      <c r="Q26" s="57">
        <f>+'[3]17-18 RW Catskills Monthly'!Q25+'[4]del Lago Monthly FY 17-18'!Q25+'[1]17-18 Tioga Monthly '!Q25+'[2]17-18 Rivers Monthly'!Q25</f>
        <v>61</v>
      </c>
      <c r="R26" s="58">
        <f>+'[3]17-18 RW Catskills Monthly'!R25+'[4]del Lago Monthly FY 17-18'!R25+'[1]17-18 Tioga Monthly '!R25+'[2]17-18 Rivers Monthly'!R25</f>
        <v>1366123</v>
      </c>
      <c r="S26" s="49"/>
      <c r="T26"/>
      <c r="U26" s="46">
        <f>+'[3]17-18 RW Catskills Monthly'!T25+'[4]del Lago Monthly FY 17-18'!T25+'[1]17-18 Tioga Monthly '!T25+'[2]17-18 Rivers Monthly'!T25</f>
        <v>46848537.170000002</v>
      </c>
      <c r="V26" s="30">
        <f>+'[1]17-18 Tioga Monthly '!D47+'[2]17-18 Rivers Monthly'!D47+'[3]17-18 RW Catskills Monthly'!D47+'[4]del Lago Monthly FY 17-18'!D47</f>
        <v>32842912.829999998</v>
      </c>
      <c r="W26" s="30">
        <f>+'[1]17-18 Tioga Monthly '!E47+'[2]17-18 Rivers Monthly'!E47+'[3]17-18 RW Catskills Monthly'!E47+'[4]del Lago Monthly FY 17-18'!E47</f>
        <v>14005624.34</v>
      </c>
      <c r="X26" s="30">
        <v>103581.96</v>
      </c>
      <c r="Y26" s="54">
        <f>+'[3]17-18 RW Catskills Monthly'!F47+'[4]del Lago Monthly FY 17-18'!F47+'[1]17-18 Tioga Monthly '!F47+'[2]17-18 Rivers Monthly'!F47</f>
        <v>135855.31</v>
      </c>
    </row>
    <row r="27" spans="1:25" ht="15.75" thickBot="1" x14ac:dyDescent="0.3">
      <c r="A27" s="4" t="s">
        <v>22</v>
      </c>
      <c r="C27" s="50">
        <f>SUM(C15:C26)</f>
        <v>3646032507.6929998</v>
      </c>
      <c r="D27" s="50">
        <f t="shared" ref="D27:E27" si="2">SUM(D15:D26)</f>
        <v>53849380.93</v>
      </c>
      <c r="E27" s="50">
        <f t="shared" si="2"/>
        <v>3323351645.7229991</v>
      </c>
      <c r="F27" s="50">
        <f>SUM(F15:F26)</f>
        <v>269604710.26999998</v>
      </c>
      <c r="G27" s="50"/>
      <c r="H27" s="51">
        <f>+'[3]17-18 RW Catskills Monthly'!I26+'[4]del Lago Monthly FY 17-18'!I26+'[1]17-18 Tioga Monthly '!I26+'[2]17-18 Rivers Monthly'!I26</f>
        <v>6204</v>
      </c>
      <c r="I27" s="52">
        <f>+F27/H27/365</f>
        <v>119.059162126953</v>
      </c>
      <c r="J27" s="48"/>
      <c r="K27" s="46"/>
      <c r="L27" s="51">
        <f>+'[3]17-18 RW Catskills Monthly'!L26+'[4]del Lago Monthly FY 17-18'!L26+'[1]17-18 Tioga Monthly '!L26+'[2]17-18 Rivers Monthly'!L26</f>
        <v>294</v>
      </c>
      <c r="M27" s="50">
        <f>SUM(M15:M26)</f>
        <v>515219279</v>
      </c>
      <c r="N27" s="50">
        <f t="shared" ref="N27:O27" si="3">SUM(N15:N26)</f>
        <v>4925595</v>
      </c>
      <c r="O27" s="50">
        <f t="shared" si="3"/>
        <v>99115568.829999983</v>
      </c>
      <c r="P27" s="46"/>
      <c r="Q27" s="51">
        <f>+'[3]17-18 RW Catskills Monthly'!Q26+'[4]del Lago Monthly FY 17-18'!Q26+'[1]17-18 Tioga Monthly '!Q26+'[2]17-18 Rivers Monthly'!Q26</f>
        <v>61</v>
      </c>
      <c r="R27" s="50">
        <f>SUM(R15:R26)</f>
        <v>9606118.2599999998</v>
      </c>
      <c r="S27" s="46"/>
      <c r="T27" s="46"/>
      <c r="U27" s="50">
        <f>SUM(U15:U26)</f>
        <v>378326397.36000001</v>
      </c>
      <c r="V27" s="29">
        <f>SUM(V15:V26)</f>
        <v>260180945.53561997</v>
      </c>
      <c r="W27" s="29">
        <f>SUM(W15:W26)</f>
        <v>118145451.82438001</v>
      </c>
      <c r="X27" s="29">
        <f>SUM(X15:X26)</f>
        <v>231196.68</v>
      </c>
      <c r="Y27" s="45">
        <f t="shared" ref="Y27" si="4">SUM(Y15:Y26)</f>
        <v>269535.01</v>
      </c>
    </row>
    <row r="28" spans="1:25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V28" s="30"/>
      <c r="W28" s="33"/>
      <c r="X28" s="33"/>
      <c r="Y28" s="33"/>
    </row>
    <row r="29" spans="1:25" s="35" customFormat="1" x14ac:dyDescent="0.25">
      <c r="A29" s="32"/>
      <c r="B29" s="32"/>
      <c r="C29" s="33"/>
      <c r="D29" s="34">
        <f>D27/C27</f>
        <v>1.4769309054809497E-2</v>
      </c>
      <c r="E29" s="34">
        <f>E27/C27</f>
        <v>0.91149808420820289</v>
      </c>
      <c r="F29" s="34">
        <f>F27/C27</f>
        <v>7.3944680882889427E-2</v>
      </c>
      <c r="G29" s="34"/>
      <c r="H29" s="33"/>
      <c r="L29" s="33"/>
      <c r="M29" s="33"/>
      <c r="N29" s="33"/>
      <c r="O29" s="33">
        <f>O27/$M$27</f>
        <v>0.19237550470233855</v>
      </c>
      <c r="P29" s="33"/>
      <c r="Q29" s="33"/>
      <c r="R29" s="33"/>
      <c r="V29" s="33">
        <f>V27/$U$27</f>
        <v>0.68771554760965403</v>
      </c>
      <c r="W29" s="33">
        <f>W27/$U$27</f>
        <v>0.31228445239034591</v>
      </c>
      <c r="X29" s="33"/>
      <c r="Y29" s="33"/>
    </row>
    <row r="30" spans="1:25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5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1:25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7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7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7" s="35" customFormat="1" ht="26.25" customHeight="1" x14ac:dyDescent="0.25">
      <c r="A35" s="69" t="s">
        <v>64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7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7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7" x14ac:dyDescent="0.25">
      <c r="A39" s="70" t="s">
        <v>67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1" spans="1:27" x14ac:dyDescent="0.25">
      <c r="A41" s="39" t="s">
        <v>44</v>
      </c>
    </row>
    <row r="42" spans="1:27" x14ac:dyDescent="0.25">
      <c r="A42" s="39"/>
    </row>
    <row r="43" spans="1:27" x14ac:dyDescent="0.25">
      <c r="A43" s="44" t="s">
        <v>47</v>
      </c>
    </row>
    <row r="44" spans="1:27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7" x14ac:dyDescent="0.25">
      <c r="A45" s="44"/>
    </row>
  </sheetData>
  <mergeCells count="14">
    <mergeCell ref="A39:AA39"/>
    <mergeCell ref="A6:Y6"/>
    <mergeCell ref="A1:Y1"/>
    <mergeCell ref="A2:Y2"/>
    <mergeCell ref="A3:Y3"/>
    <mergeCell ref="A4:Y4"/>
    <mergeCell ref="A5:Y5"/>
    <mergeCell ref="A35:AA35"/>
    <mergeCell ref="A31:Y31"/>
    <mergeCell ref="A9:Y9"/>
    <mergeCell ref="C11:I11"/>
    <mergeCell ref="L11:O11"/>
    <mergeCell ref="Q11:R11"/>
    <mergeCell ref="U11:Y11"/>
  </mergeCells>
  <conditionalFormatting sqref="C20:P26">
    <cfRule type="cellIs" dxfId="3" priority="1" operator="equal">
      <formula>0</formula>
    </cfRule>
  </conditionalFormatting>
  <conditionalFormatting sqref="C15:U19 S20:U26">
    <cfRule type="cellIs" dxfId="2" priority="2" operator="equal">
      <formula>0</formula>
    </cfRule>
  </conditionalFormatting>
  <hyperlinks>
    <hyperlink ref="A5" r:id="rId1" xr:uid="{56DDA591-E2F7-4591-B9CB-7E37E7CAD0EE}"/>
  </hyperlinks>
  <printOptions horizontalCentered="1" verticalCentered="1"/>
  <pageMargins left="0.25" right="0.25" top="0.75" bottom="0.75" header="0.3" footer="0.3"/>
  <pageSetup scale="54" fitToHeight="0"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5EFA-ED20-4EB1-90C7-AC89E5712558}">
  <sheetPr>
    <pageSetUpPr fitToPage="1"/>
  </sheetPr>
  <dimension ref="A1:W45"/>
  <sheetViews>
    <sheetView topLeftCell="A15" zoomScale="106" zoomScaleNormal="106" workbookViewId="0">
      <selection activeCell="O20" sqref="O20"/>
    </sheetView>
  </sheetViews>
  <sheetFormatPr defaultRowHeight="15" x14ac:dyDescent="0.25"/>
  <cols>
    <col min="1" max="1" width="9.28515625" style="4" customWidth="1"/>
    <col min="2" max="2" width="1.7109375" style="4" customWidth="1"/>
    <col min="3" max="3" width="14.5703125" style="28" customWidth="1"/>
    <col min="4" max="4" width="12.85546875" style="28" customWidth="1"/>
    <col min="5" max="5" width="16.7109375" style="28" customWidth="1"/>
    <col min="6" max="6" width="15.140625" style="28" customWidth="1"/>
    <col min="7" max="7" width="1.140625" style="28" customWidth="1"/>
    <col min="8" max="8" width="11.5703125" style="28" customWidth="1"/>
    <col min="9" max="9" width="11.140625" style="27" bestFit="1" customWidth="1"/>
    <col min="10" max="10" width="2.28515625" style="28" customWidth="1"/>
    <col min="11" max="11" width="1.140625" style="28" customWidth="1"/>
    <col min="12" max="12" width="11.140625" style="28" customWidth="1"/>
    <col min="13" max="13" width="12.7109375" style="28" customWidth="1"/>
    <col min="14" max="14" width="12.85546875" style="28" customWidth="1"/>
    <col min="15" max="15" width="13" style="28" customWidth="1"/>
    <col min="16" max="16" width="2" style="28" customWidth="1"/>
    <col min="17" max="17" width="7.5703125" style="28" customWidth="1"/>
    <col min="18" max="18" width="12.140625" style="28" customWidth="1"/>
    <col min="19" max="20" width="2" style="1" customWidth="1"/>
    <col min="21" max="21" width="14.28515625" style="1" customWidth="1"/>
    <col min="22" max="22" width="12.85546875" style="1" bestFit="1" customWidth="1"/>
    <col min="23" max="23" width="14" style="1" bestFit="1" customWidth="1"/>
    <col min="24" max="253" width="9.140625" style="1"/>
    <col min="254" max="254" width="9.28515625" style="1" customWidth="1"/>
    <col min="255" max="255" width="1.7109375" style="1" customWidth="1"/>
    <col min="256" max="259" width="12" style="1" customWidth="1"/>
    <col min="260" max="260" width="11.85546875" style="1" customWidth="1"/>
    <col min="261" max="261" width="10.7109375" style="1" customWidth="1"/>
    <col min="262" max="262" width="10.5703125" style="1" customWidth="1"/>
    <col min="263" max="263" width="1.140625" style="1" customWidth="1"/>
    <col min="264" max="264" width="11.28515625" style="1" customWidth="1"/>
    <col min="265" max="265" width="12.7109375" style="1" customWidth="1"/>
    <col min="266" max="266" width="11.5703125" style="1" customWidth="1"/>
    <col min="267" max="267" width="12.42578125" style="1" customWidth="1"/>
    <col min="268" max="268" width="1.5703125" style="1" customWidth="1"/>
    <col min="269" max="269" width="11.42578125" style="1" customWidth="1"/>
    <col min="270" max="270" width="12.140625" style="1" customWidth="1"/>
    <col min="271" max="271" width="1.7109375" style="1" customWidth="1"/>
    <col min="272" max="272" width="13.5703125" style="1" customWidth="1"/>
    <col min="273" max="509" width="9.140625" style="1"/>
    <col min="510" max="510" width="9.28515625" style="1" customWidth="1"/>
    <col min="511" max="511" width="1.7109375" style="1" customWidth="1"/>
    <col min="512" max="515" width="12" style="1" customWidth="1"/>
    <col min="516" max="516" width="11.85546875" style="1" customWidth="1"/>
    <col min="517" max="517" width="10.7109375" style="1" customWidth="1"/>
    <col min="518" max="518" width="10.5703125" style="1" customWidth="1"/>
    <col min="519" max="519" width="1.140625" style="1" customWidth="1"/>
    <col min="520" max="520" width="11.28515625" style="1" customWidth="1"/>
    <col min="521" max="521" width="12.7109375" style="1" customWidth="1"/>
    <col min="522" max="522" width="11.5703125" style="1" customWidth="1"/>
    <col min="523" max="523" width="12.42578125" style="1" customWidth="1"/>
    <col min="524" max="524" width="1.5703125" style="1" customWidth="1"/>
    <col min="525" max="525" width="11.42578125" style="1" customWidth="1"/>
    <col min="526" max="526" width="12.140625" style="1" customWidth="1"/>
    <col min="527" max="527" width="1.7109375" style="1" customWidth="1"/>
    <col min="528" max="528" width="13.5703125" style="1" customWidth="1"/>
    <col min="529" max="765" width="9.140625" style="1"/>
    <col min="766" max="766" width="9.28515625" style="1" customWidth="1"/>
    <col min="767" max="767" width="1.7109375" style="1" customWidth="1"/>
    <col min="768" max="771" width="12" style="1" customWidth="1"/>
    <col min="772" max="772" width="11.85546875" style="1" customWidth="1"/>
    <col min="773" max="773" width="10.7109375" style="1" customWidth="1"/>
    <col min="774" max="774" width="10.5703125" style="1" customWidth="1"/>
    <col min="775" max="775" width="1.140625" style="1" customWidth="1"/>
    <col min="776" max="776" width="11.28515625" style="1" customWidth="1"/>
    <col min="777" max="777" width="12.7109375" style="1" customWidth="1"/>
    <col min="778" max="778" width="11.5703125" style="1" customWidth="1"/>
    <col min="779" max="779" width="12.42578125" style="1" customWidth="1"/>
    <col min="780" max="780" width="1.5703125" style="1" customWidth="1"/>
    <col min="781" max="781" width="11.42578125" style="1" customWidth="1"/>
    <col min="782" max="782" width="12.140625" style="1" customWidth="1"/>
    <col min="783" max="783" width="1.7109375" style="1" customWidth="1"/>
    <col min="784" max="784" width="13.5703125" style="1" customWidth="1"/>
    <col min="785" max="1021" width="9.140625" style="1"/>
    <col min="1022" max="1022" width="9.28515625" style="1" customWidth="1"/>
    <col min="1023" max="1023" width="1.7109375" style="1" customWidth="1"/>
    <col min="1024" max="1027" width="12" style="1" customWidth="1"/>
    <col min="1028" max="1028" width="11.85546875" style="1" customWidth="1"/>
    <col min="1029" max="1029" width="10.7109375" style="1" customWidth="1"/>
    <col min="1030" max="1030" width="10.5703125" style="1" customWidth="1"/>
    <col min="1031" max="1031" width="1.140625" style="1" customWidth="1"/>
    <col min="1032" max="1032" width="11.28515625" style="1" customWidth="1"/>
    <col min="1033" max="1033" width="12.7109375" style="1" customWidth="1"/>
    <col min="1034" max="1034" width="11.5703125" style="1" customWidth="1"/>
    <col min="1035" max="1035" width="12.42578125" style="1" customWidth="1"/>
    <col min="1036" max="1036" width="1.5703125" style="1" customWidth="1"/>
    <col min="1037" max="1037" width="11.42578125" style="1" customWidth="1"/>
    <col min="1038" max="1038" width="12.140625" style="1" customWidth="1"/>
    <col min="1039" max="1039" width="1.7109375" style="1" customWidth="1"/>
    <col min="1040" max="1040" width="13.5703125" style="1" customWidth="1"/>
    <col min="1041" max="1277" width="9.140625" style="1"/>
    <col min="1278" max="1278" width="9.28515625" style="1" customWidth="1"/>
    <col min="1279" max="1279" width="1.7109375" style="1" customWidth="1"/>
    <col min="1280" max="1283" width="12" style="1" customWidth="1"/>
    <col min="1284" max="1284" width="11.85546875" style="1" customWidth="1"/>
    <col min="1285" max="1285" width="10.7109375" style="1" customWidth="1"/>
    <col min="1286" max="1286" width="10.5703125" style="1" customWidth="1"/>
    <col min="1287" max="1287" width="1.140625" style="1" customWidth="1"/>
    <col min="1288" max="1288" width="11.28515625" style="1" customWidth="1"/>
    <col min="1289" max="1289" width="12.7109375" style="1" customWidth="1"/>
    <col min="1290" max="1290" width="11.5703125" style="1" customWidth="1"/>
    <col min="1291" max="1291" width="12.42578125" style="1" customWidth="1"/>
    <col min="1292" max="1292" width="1.5703125" style="1" customWidth="1"/>
    <col min="1293" max="1293" width="11.42578125" style="1" customWidth="1"/>
    <col min="1294" max="1294" width="12.140625" style="1" customWidth="1"/>
    <col min="1295" max="1295" width="1.7109375" style="1" customWidth="1"/>
    <col min="1296" max="1296" width="13.5703125" style="1" customWidth="1"/>
    <col min="1297" max="1533" width="9.140625" style="1"/>
    <col min="1534" max="1534" width="9.28515625" style="1" customWidth="1"/>
    <col min="1535" max="1535" width="1.7109375" style="1" customWidth="1"/>
    <col min="1536" max="1539" width="12" style="1" customWidth="1"/>
    <col min="1540" max="1540" width="11.85546875" style="1" customWidth="1"/>
    <col min="1541" max="1541" width="10.7109375" style="1" customWidth="1"/>
    <col min="1542" max="1542" width="10.5703125" style="1" customWidth="1"/>
    <col min="1543" max="1543" width="1.140625" style="1" customWidth="1"/>
    <col min="1544" max="1544" width="11.28515625" style="1" customWidth="1"/>
    <col min="1545" max="1545" width="12.7109375" style="1" customWidth="1"/>
    <col min="1546" max="1546" width="11.5703125" style="1" customWidth="1"/>
    <col min="1547" max="1547" width="12.42578125" style="1" customWidth="1"/>
    <col min="1548" max="1548" width="1.5703125" style="1" customWidth="1"/>
    <col min="1549" max="1549" width="11.42578125" style="1" customWidth="1"/>
    <col min="1550" max="1550" width="12.140625" style="1" customWidth="1"/>
    <col min="1551" max="1551" width="1.7109375" style="1" customWidth="1"/>
    <col min="1552" max="1552" width="13.5703125" style="1" customWidth="1"/>
    <col min="1553" max="1789" width="9.140625" style="1"/>
    <col min="1790" max="1790" width="9.28515625" style="1" customWidth="1"/>
    <col min="1791" max="1791" width="1.7109375" style="1" customWidth="1"/>
    <col min="1792" max="1795" width="12" style="1" customWidth="1"/>
    <col min="1796" max="1796" width="11.85546875" style="1" customWidth="1"/>
    <col min="1797" max="1797" width="10.7109375" style="1" customWidth="1"/>
    <col min="1798" max="1798" width="10.5703125" style="1" customWidth="1"/>
    <col min="1799" max="1799" width="1.140625" style="1" customWidth="1"/>
    <col min="1800" max="1800" width="11.28515625" style="1" customWidth="1"/>
    <col min="1801" max="1801" width="12.7109375" style="1" customWidth="1"/>
    <col min="1802" max="1802" width="11.5703125" style="1" customWidth="1"/>
    <col min="1803" max="1803" width="12.42578125" style="1" customWidth="1"/>
    <col min="1804" max="1804" width="1.5703125" style="1" customWidth="1"/>
    <col min="1805" max="1805" width="11.42578125" style="1" customWidth="1"/>
    <col min="1806" max="1806" width="12.140625" style="1" customWidth="1"/>
    <col min="1807" max="1807" width="1.7109375" style="1" customWidth="1"/>
    <col min="1808" max="1808" width="13.5703125" style="1" customWidth="1"/>
    <col min="1809" max="2045" width="9.140625" style="1"/>
    <col min="2046" max="2046" width="9.28515625" style="1" customWidth="1"/>
    <col min="2047" max="2047" width="1.7109375" style="1" customWidth="1"/>
    <col min="2048" max="2051" width="12" style="1" customWidth="1"/>
    <col min="2052" max="2052" width="11.85546875" style="1" customWidth="1"/>
    <col min="2053" max="2053" width="10.7109375" style="1" customWidth="1"/>
    <col min="2054" max="2054" width="10.5703125" style="1" customWidth="1"/>
    <col min="2055" max="2055" width="1.140625" style="1" customWidth="1"/>
    <col min="2056" max="2056" width="11.28515625" style="1" customWidth="1"/>
    <col min="2057" max="2057" width="12.7109375" style="1" customWidth="1"/>
    <col min="2058" max="2058" width="11.5703125" style="1" customWidth="1"/>
    <col min="2059" max="2059" width="12.42578125" style="1" customWidth="1"/>
    <col min="2060" max="2060" width="1.5703125" style="1" customWidth="1"/>
    <col min="2061" max="2061" width="11.42578125" style="1" customWidth="1"/>
    <col min="2062" max="2062" width="12.140625" style="1" customWidth="1"/>
    <col min="2063" max="2063" width="1.7109375" style="1" customWidth="1"/>
    <col min="2064" max="2064" width="13.5703125" style="1" customWidth="1"/>
    <col min="2065" max="2301" width="9.140625" style="1"/>
    <col min="2302" max="2302" width="9.28515625" style="1" customWidth="1"/>
    <col min="2303" max="2303" width="1.7109375" style="1" customWidth="1"/>
    <col min="2304" max="2307" width="12" style="1" customWidth="1"/>
    <col min="2308" max="2308" width="11.85546875" style="1" customWidth="1"/>
    <col min="2309" max="2309" width="10.7109375" style="1" customWidth="1"/>
    <col min="2310" max="2310" width="10.5703125" style="1" customWidth="1"/>
    <col min="2311" max="2311" width="1.140625" style="1" customWidth="1"/>
    <col min="2312" max="2312" width="11.28515625" style="1" customWidth="1"/>
    <col min="2313" max="2313" width="12.7109375" style="1" customWidth="1"/>
    <col min="2314" max="2314" width="11.5703125" style="1" customWidth="1"/>
    <col min="2315" max="2315" width="12.42578125" style="1" customWidth="1"/>
    <col min="2316" max="2316" width="1.5703125" style="1" customWidth="1"/>
    <col min="2317" max="2317" width="11.42578125" style="1" customWidth="1"/>
    <col min="2318" max="2318" width="12.140625" style="1" customWidth="1"/>
    <col min="2319" max="2319" width="1.7109375" style="1" customWidth="1"/>
    <col min="2320" max="2320" width="13.5703125" style="1" customWidth="1"/>
    <col min="2321" max="2557" width="9.140625" style="1"/>
    <col min="2558" max="2558" width="9.28515625" style="1" customWidth="1"/>
    <col min="2559" max="2559" width="1.7109375" style="1" customWidth="1"/>
    <col min="2560" max="2563" width="12" style="1" customWidth="1"/>
    <col min="2564" max="2564" width="11.85546875" style="1" customWidth="1"/>
    <col min="2565" max="2565" width="10.7109375" style="1" customWidth="1"/>
    <col min="2566" max="2566" width="10.5703125" style="1" customWidth="1"/>
    <col min="2567" max="2567" width="1.140625" style="1" customWidth="1"/>
    <col min="2568" max="2568" width="11.28515625" style="1" customWidth="1"/>
    <col min="2569" max="2569" width="12.7109375" style="1" customWidth="1"/>
    <col min="2570" max="2570" width="11.5703125" style="1" customWidth="1"/>
    <col min="2571" max="2571" width="12.42578125" style="1" customWidth="1"/>
    <col min="2572" max="2572" width="1.5703125" style="1" customWidth="1"/>
    <col min="2573" max="2573" width="11.42578125" style="1" customWidth="1"/>
    <col min="2574" max="2574" width="12.140625" style="1" customWidth="1"/>
    <col min="2575" max="2575" width="1.7109375" style="1" customWidth="1"/>
    <col min="2576" max="2576" width="13.5703125" style="1" customWidth="1"/>
    <col min="2577" max="2813" width="9.140625" style="1"/>
    <col min="2814" max="2814" width="9.28515625" style="1" customWidth="1"/>
    <col min="2815" max="2815" width="1.7109375" style="1" customWidth="1"/>
    <col min="2816" max="2819" width="12" style="1" customWidth="1"/>
    <col min="2820" max="2820" width="11.85546875" style="1" customWidth="1"/>
    <col min="2821" max="2821" width="10.7109375" style="1" customWidth="1"/>
    <col min="2822" max="2822" width="10.5703125" style="1" customWidth="1"/>
    <col min="2823" max="2823" width="1.140625" style="1" customWidth="1"/>
    <col min="2824" max="2824" width="11.28515625" style="1" customWidth="1"/>
    <col min="2825" max="2825" width="12.7109375" style="1" customWidth="1"/>
    <col min="2826" max="2826" width="11.5703125" style="1" customWidth="1"/>
    <col min="2827" max="2827" width="12.42578125" style="1" customWidth="1"/>
    <col min="2828" max="2828" width="1.5703125" style="1" customWidth="1"/>
    <col min="2829" max="2829" width="11.42578125" style="1" customWidth="1"/>
    <col min="2830" max="2830" width="12.140625" style="1" customWidth="1"/>
    <col min="2831" max="2831" width="1.7109375" style="1" customWidth="1"/>
    <col min="2832" max="2832" width="13.5703125" style="1" customWidth="1"/>
    <col min="2833" max="3069" width="9.140625" style="1"/>
    <col min="3070" max="3070" width="9.28515625" style="1" customWidth="1"/>
    <col min="3071" max="3071" width="1.7109375" style="1" customWidth="1"/>
    <col min="3072" max="3075" width="12" style="1" customWidth="1"/>
    <col min="3076" max="3076" width="11.85546875" style="1" customWidth="1"/>
    <col min="3077" max="3077" width="10.7109375" style="1" customWidth="1"/>
    <col min="3078" max="3078" width="10.5703125" style="1" customWidth="1"/>
    <col min="3079" max="3079" width="1.140625" style="1" customWidth="1"/>
    <col min="3080" max="3080" width="11.28515625" style="1" customWidth="1"/>
    <col min="3081" max="3081" width="12.7109375" style="1" customWidth="1"/>
    <col min="3082" max="3082" width="11.5703125" style="1" customWidth="1"/>
    <col min="3083" max="3083" width="12.42578125" style="1" customWidth="1"/>
    <col min="3084" max="3084" width="1.5703125" style="1" customWidth="1"/>
    <col min="3085" max="3085" width="11.42578125" style="1" customWidth="1"/>
    <col min="3086" max="3086" width="12.140625" style="1" customWidth="1"/>
    <col min="3087" max="3087" width="1.7109375" style="1" customWidth="1"/>
    <col min="3088" max="3088" width="13.5703125" style="1" customWidth="1"/>
    <col min="3089" max="3325" width="9.140625" style="1"/>
    <col min="3326" max="3326" width="9.28515625" style="1" customWidth="1"/>
    <col min="3327" max="3327" width="1.7109375" style="1" customWidth="1"/>
    <col min="3328" max="3331" width="12" style="1" customWidth="1"/>
    <col min="3332" max="3332" width="11.85546875" style="1" customWidth="1"/>
    <col min="3333" max="3333" width="10.7109375" style="1" customWidth="1"/>
    <col min="3334" max="3334" width="10.5703125" style="1" customWidth="1"/>
    <col min="3335" max="3335" width="1.140625" style="1" customWidth="1"/>
    <col min="3336" max="3336" width="11.28515625" style="1" customWidth="1"/>
    <col min="3337" max="3337" width="12.7109375" style="1" customWidth="1"/>
    <col min="3338" max="3338" width="11.5703125" style="1" customWidth="1"/>
    <col min="3339" max="3339" width="12.42578125" style="1" customWidth="1"/>
    <col min="3340" max="3340" width="1.5703125" style="1" customWidth="1"/>
    <col min="3341" max="3341" width="11.42578125" style="1" customWidth="1"/>
    <col min="3342" max="3342" width="12.140625" style="1" customWidth="1"/>
    <col min="3343" max="3343" width="1.7109375" style="1" customWidth="1"/>
    <col min="3344" max="3344" width="13.5703125" style="1" customWidth="1"/>
    <col min="3345" max="3581" width="9.140625" style="1"/>
    <col min="3582" max="3582" width="9.28515625" style="1" customWidth="1"/>
    <col min="3583" max="3583" width="1.7109375" style="1" customWidth="1"/>
    <col min="3584" max="3587" width="12" style="1" customWidth="1"/>
    <col min="3588" max="3588" width="11.85546875" style="1" customWidth="1"/>
    <col min="3589" max="3589" width="10.7109375" style="1" customWidth="1"/>
    <col min="3590" max="3590" width="10.5703125" style="1" customWidth="1"/>
    <col min="3591" max="3591" width="1.140625" style="1" customWidth="1"/>
    <col min="3592" max="3592" width="11.28515625" style="1" customWidth="1"/>
    <col min="3593" max="3593" width="12.7109375" style="1" customWidth="1"/>
    <col min="3594" max="3594" width="11.5703125" style="1" customWidth="1"/>
    <col min="3595" max="3595" width="12.42578125" style="1" customWidth="1"/>
    <col min="3596" max="3596" width="1.5703125" style="1" customWidth="1"/>
    <col min="3597" max="3597" width="11.42578125" style="1" customWidth="1"/>
    <col min="3598" max="3598" width="12.140625" style="1" customWidth="1"/>
    <col min="3599" max="3599" width="1.7109375" style="1" customWidth="1"/>
    <col min="3600" max="3600" width="13.5703125" style="1" customWidth="1"/>
    <col min="3601" max="3837" width="9.140625" style="1"/>
    <col min="3838" max="3838" width="9.28515625" style="1" customWidth="1"/>
    <col min="3839" max="3839" width="1.7109375" style="1" customWidth="1"/>
    <col min="3840" max="3843" width="12" style="1" customWidth="1"/>
    <col min="3844" max="3844" width="11.85546875" style="1" customWidth="1"/>
    <col min="3845" max="3845" width="10.7109375" style="1" customWidth="1"/>
    <col min="3846" max="3846" width="10.5703125" style="1" customWidth="1"/>
    <col min="3847" max="3847" width="1.140625" style="1" customWidth="1"/>
    <col min="3848" max="3848" width="11.28515625" style="1" customWidth="1"/>
    <col min="3849" max="3849" width="12.7109375" style="1" customWidth="1"/>
    <col min="3850" max="3850" width="11.5703125" style="1" customWidth="1"/>
    <col min="3851" max="3851" width="12.42578125" style="1" customWidth="1"/>
    <col min="3852" max="3852" width="1.5703125" style="1" customWidth="1"/>
    <col min="3853" max="3853" width="11.42578125" style="1" customWidth="1"/>
    <col min="3854" max="3854" width="12.140625" style="1" customWidth="1"/>
    <col min="3855" max="3855" width="1.7109375" style="1" customWidth="1"/>
    <col min="3856" max="3856" width="13.5703125" style="1" customWidth="1"/>
    <col min="3857" max="4093" width="9.140625" style="1"/>
    <col min="4094" max="4094" width="9.28515625" style="1" customWidth="1"/>
    <col min="4095" max="4095" width="1.7109375" style="1" customWidth="1"/>
    <col min="4096" max="4099" width="12" style="1" customWidth="1"/>
    <col min="4100" max="4100" width="11.85546875" style="1" customWidth="1"/>
    <col min="4101" max="4101" width="10.7109375" style="1" customWidth="1"/>
    <col min="4102" max="4102" width="10.5703125" style="1" customWidth="1"/>
    <col min="4103" max="4103" width="1.140625" style="1" customWidth="1"/>
    <col min="4104" max="4104" width="11.28515625" style="1" customWidth="1"/>
    <col min="4105" max="4105" width="12.7109375" style="1" customWidth="1"/>
    <col min="4106" max="4106" width="11.5703125" style="1" customWidth="1"/>
    <col min="4107" max="4107" width="12.42578125" style="1" customWidth="1"/>
    <col min="4108" max="4108" width="1.5703125" style="1" customWidth="1"/>
    <col min="4109" max="4109" width="11.42578125" style="1" customWidth="1"/>
    <col min="4110" max="4110" width="12.140625" style="1" customWidth="1"/>
    <col min="4111" max="4111" width="1.7109375" style="1" customWidth="1"/>
    <col min="4112" max="4112" width="13.5703125" style="1" customWidth="1"/>
    <col min="4113" max="4349" width="9.140625" style="1"/>
    <col min="4350" max="4350" width="9.28515625" style="1" customWidth="1"/>
    <col min="4351" max="4351" width="1.7109375" style="1" customWidth="1"/>
    <col min="4352" max="4355" width="12" style="1" customWidth="1"/>
    <col min="4356" max="4356" width="11.85546875" style="1" customWidth="1"/>
    <col min="4357" max="4357" width="10.7109375" style="1" customWidth="1"/>
    <col min="4358" max="4358" width="10.5703125" style="1" customWidth="1"/>
    <col min="4359" max="4359" width="1.140625" style="1" customWidth="1"/>
    <col min="4360" max="4360" width="11.28515625" style="1" customWidth="1"/>
    <col min="4361" max="4361" width="12.7109375" style="1" customWidth="1"/>
    <col min="4362" max="4362" width="11.5703125" style="1" customWidth="1"/>
    <col min="4363" max="4363" width="12.42578125" style="1" customWidth="1"/>
    <col min="4364" max="4364" width="1.5703125" style="1" customWidth="1"/>
    <col min="4365" max="4365" width="11.42578125" style="1" customWidth="1"/>
    <col min="4366" max="4366" width="12.140625" style="1" customWidth="1"/>
    <col min="4367" max="4367" width="1.7109375" style="1" customWidth="1"/>
    <col min="4368" max="4368" width="13.5703125" style="1" customWidth="1"/>
    <col min="4369" max="4605" width="9.140625" style="1"/>
    <col min="4606" max="4606" width="9.28515625" style="1" customWidth="1"/>
    <col min="4607" max="4607" width="1.7109375" style="1" customWidth="1"/>
    <col min="4608" max="4611" width="12" style="1" customWidth="1"/>
    <col min="4612" max="4612" width="11.85546875" style="1" customWidth="1"/>
    <col min="4613" max="4613" width="10.7109375" style="1" customWidth="1"/>
    <col min="4614" max="4614" width="10.5703125" style="1" customWidth="1"/>
    <col min="4615" max="4615" width="1.140625" style="1" customWidth="1"/>
    <col min="4616" max="4616" width="11.28515625" style="1" customWidth="1"/>
    <col min="4617" max="4617" width="12.7109375" style="1" customWidth="1"/>
    <col min="4618" max="4618" width="11.5703125" style="1" customWidth="1"/>
    <col min="4619" max="4619" width="12.42578125" style="1" customWidth="1"/>
    <col min="4620" max="4620" width="1.5703125" style="1" customWidth="1"/>
    <col min="4621" max="4621" width="11.42578125" style="1" customWidth="1"/>
    <col min="4622" max="4622" width="12.140625" style="1" customWidth="1"/>
    <col min="4623" max="4623" width="1.7109375" style="1" customWidth="1"/>
    <col min="4624" max="4624" width="13.5703125" style="1" customWidth="1"/>
    <col min="4625" max="4861" width="9.140625" style="1"/>
    <col min="4862" max="4862" width="9.28515625" style="1" customWidth="1"/>
    <col min="4863" max="4863" width="1.7109375" style="1" customWidth="1"/>
    <col min="4864" max="4867" width="12" style="1" customWidth="1"/>
    <col min="4868" max="4868" width="11.85546875" style="1" customWidth="1"/>
    <col min="4869" max="4869" width="10.7109375" style="1" customWidth="1"/>
    <col min="4870" max="4870" width="10.5703125" style="1" customWidth="1"/>
    <col min="4871" max="4871" width="1.140625" style="1" customWidth="1"/>
    <col min="4872" max="4872" width="11.28515625" style="1" customWidth="1"/>
    <col min="4873" max="4873" width="12.7109375" style="1" customWidth="1"/>
    <col min="4874" max="4874" width="11.5703125" style="1" customWidth="1"/>
    <col min="4875" max="4875" width="12.42578125" style="1" customWidth="1"/>
    <col min="4876" max="4876" width="1.5703125" style="1" customWidth="1"/>
    <col min="4877" max="4877" width="11.42578125" style="1" customWidth="1"/>
    <col min="4878" max="4878" width="12.140625" style="1" customWidth="1"/>
    <col min="4879" max="4879" width="1.7109375" style="1" customWidth="1"/>
    <col min="4880" max="4880" width="13.5703125" style="1" customWidth="1"/>
    <col min="4881" max="5117" width="9.140625" style="1"/>
    <col min="5118" max="5118" width="9.28515625" style="1" customWidth="1"/>
    <col min="5119" max="5119" width="1.7109375" style="1" customWidth="1"/>
    <col min="5120" max="5123" width="12" style="1" customWidth="1"/>
    <col min="5124" max="5124" width="11.85546875" style="1" customWidth="1"/>
    <col min="5125" max="5125" width="10.7109375" style="1" customWidth="1"/>
    <col min="5126" max="5126" width="10.5703125" style="1" customWidth="1"/>
    <col min="5127" max="5127" width="1.140625" style="1" customWidth="1"/>
    <col min="5128" max="5128" width="11.28515625" style="1" customWidth="1"/>
    <col min="5129" max="5129" width="12.7109375" style="1" customWidth="1"/>
    <col min="5130" max="5130" width="11.5703125" style="1" customWidth="1"/>
    <col min="5131" max="5131" width="12.42578125" style="1" customWidth="1"/>
    <col min="5132" max="5132" width="1.5703125" style="1" customWidth="1"/>
    <col min="5133" max="5133" width="11.42578125" style="1" customWidth="1"/>
    <col min="5134" max="5134" width="12.140625" style="1" customWidth="1"/>
    <col min="5135" max="5135" width="1.7109375" style="1" customWidth="1"/>
    <col min="5136" max="5136" width="13.5703125" style="1" customWidth="1"/>
    <col min="5137" max="5373" width="9.140625" style="1"/>
    <col min="5374" max="5374" width="9.28515625" style="1" customWidth="1"/>
    <col min="5375" max="5375" width="1.7109375" style="1" customWidth="1"/>
    <col min="5376" max="5379" width="12" style="1" customWidth="1"/>
    <col min="5380" max="5380" width="11.85546875" style="1" customWidth="1"/>
    <col min="5381" max="5381" width="10.7109375" style="1" customWidth="1"/>
    <col min="5382" max="5382" width="10.5703125" style="1" customWidth="1"/>
    <col min="5383" max="5383" width="1.140625" style="1" customWidth="1"/>
    <col min="5384" max="5384" width="11.28515625" style="1" customWidth="1"/>
    <col min="5385" max="5385" width="12.7109375" style="1" customWidth="1"/>
    <col min="5386" max="5386" width="11.5703125" style="1" customWidth="1"/>
    <col min="5387" max="5387" width="12.42578125" style="1" customWidth="1"/>
    <col min="5388" max="5388" width="1.5703125" style="1" customWidth="1"/>
    <col min="5389" max="5389" width="11.42578125" style="1" customWidth="1"/>
    <col min="5390" max="5390" width="12.140625" style="1" customWidth="1"/>
    <col min="5391" max="5391" width="1.7109375" style="1" customWidth="1"/>
    <col min="5392" max="5392" width="13.5703125" style="1" customWidth="1"/>
    <col min="5393" max="5629" width="9.140625" style="1"/>
    <col min="5630" max="5630" width="9.28515625" style="1" customWidth="1"/>
    <col min="5631" max="5631" width="1.7109375" style="1" customWidth="1"/>
    <col min="5632" max="5635" width="12" style="1" customWidth="1"/>
    <col min="5636" max="5636" width="11.85546875" style="1" customWidth="1"/>
    <col min="5637" max="5637" width="10.7109375" style="1" customWidth="1"/>
    <col min="5638" max="5638" width="10.5703125" style="1" customWidth="1"/>
    <col min="5639" max="5639" width="1.140625" style="1" customWidth="1"/>
    <col min="5640" max="5640" width="11.28515625" style="1" customWidth="1"/>
    <col min="5641" max="5641" width="12.7109375" style="1" customWidth="1"/>
    <col min="5642" max="5642" width="11.5703125" style="1" customWidth="1"/>
    <col min="5643" max="5643" width="12.42578125" style="1" customWidth="1"/>
    <col min="5644" max="5644" width="1.5703125" style="1" customWidth="1"/>
    <col min="5645" max="5645" width="11.42578125" style="1" customWidth="1"/>
    <col min="5646" max="5646" width="12.140625" style="1" customWidth="1"/>
    <col min="5647" max="5647" width="1.7109375" style="1" customWidth="1"/>
    <col min="5648" max="5648" width="13.5703125" style="1" customWidth="1"/>
    <col min="5649" max="5885" width="9.140625" style="1"/>
    <col min="5886" max="5886" width="9.28515625" style="1" customWidth="1"/>
    <col min="5887" max="5887" width="1.7109375" style="1" customWidth="1"/>
    <col min="5888" max="5891" width="12" style="1" customWidth="1"/>
    <col min="5892" max="5892" width="11.85546875" style="1" customWidth="1"/>
    <col min="5893" max="5893" width="10.7109375" style="1" customWidth="1"/>
    <col min="5894" max="5894" width="10.5703125" style="1" customWidth="1"/>
    <col min="5895" max="5895" width="1.140625" style="1" customWidth="1"/>
    <col min="5896" max="5896" width="11.28515625" style="1" customWidth="1"/>
    <col min="5897" max="5897" width="12.7109375" style="1" customWidth="1"/>
    <col min="5898" max="5898" width="11.5703125" style="1" customWidth="1"/>
    <col min="5899" max="5899" width="12.42578125" style="1" customWidth="1"/>
    <col min="5900" max="5900" width="1.5703125" style="1" customWidth="1"/>
    <col min="5901" max="5901" width="11.42578125" style="1" customWidth="1"/>
    <col min="5902" max="5902" width="12.140625" style="1" customWidth="1"/>
    <col min="5903" max="5903" width="1.7109375" style="1" customWidth="1"/>
    <col min="5904" max="5904" width="13.5703125" style="1" customWidth="1"/>
    <col min="5905" max="6141" width="9.140625" style="1"/>
    <col min="6142" max="6142" width="9.28515625" style="1" customWidth="1"/>
    <col min="6143" max="6143" width="1.7109375" style="1" customWidth="1"/>
    <col min="6144" max="6147" width="12" style="1" customWidth="1"/>
    <col min="6148" max="6148" width="11.85546875" style="1" customWidth="1"/>
    <col min="6149" max="6149" width="10.7109375" style="1" customWidth="1"/>
    <col min="6150" max="6150" width="10.5703125" style="1" customWidth="1"/>
    <col min="6151" max="6151" width="1.140625" style="1" customWidth="1"/>
    <col min="6152" max="6152" width="11.28515625" style="1" customWidth="1"/>
    <col min="6153" max="6153" width="12.7109375" style="1" customWidth="1"/>
    <col min="6154" max="6154" width="11.5703125" style="1" customWidth="1"/>
    <col min="6155" max="6155" width="12.42578125" style="1" customWidth="1"/>
    <col min="6156" max="6156" width="1.5703125" style="1" customWidth="1"/>
    <col min="6157" max="6157" width="11.42578125" style="1" customWidth="1"/>
    <col min="6158" max="6158" width="12.140625" style="1" customWidth="1"/>
    <col min="6159" max="6159" width="1.7109375" style="1" customWidth="1"/>
    <col min="6160" max="6160" width="13.5703125" style="1" customWidth="1"/>
    <col min="6161" max="6397" width="9.140625" style="1"/>
    <col min="6398" max="6398" width="9.28515625" style="1" customWidth="1"/>
    <col min="6399" max="6399" width="1.7109375" style="1" customWidth="1"/>
    <col min="6400" max="6403" width="12" style="1" customWidth="1"/>
    <col min="6404" max="6404" width="11.85546875" style="1" customWidth="1"/>
    <col min="6405" max="6405" width="10.7109375" style="1" customWidth="1"/>
    <col min="6406" max="6406" width="10.5703125" style="1" customWidth="1"/>
    <col min="6407" max="6407" width="1.140625" style="1" customWidth="1"/>
    <col min="6408" max="6408" width="11.28515625" style="1" customWidth="1"/>
    <col min="6409" max="6409" width="12.7109375" style="1" customWidth="1"/>
    <col min="6410" max="6410" width="11.5703125" style="1" customWidth="1"/>
    <col min="6411" max="6411" width="12.42578125" style="1" customWidth="1"/>
    <col min="6412" max="6412" width="1.5703125" style="1" customWidth="1"/>
    <col min="6413" max="6413" width="11.42578125" style="1" customWidth="1"/>
    <col min="6414" max="6414" width="12.140625" style="1" customWidth="1"/>
    <col min="6415" max="6415" width="1.7109375" style="1" customWidth="1"/>
    <col min="6416" max="6416" width="13.5703125" style="1" customWidth="1"/>
    <col min="6417" max="6653" width="9.140625" style="1"/>
    <col min="6654" max="6654" width="9.28515625" style="1" customWidth="1"/>
    <col min="6655" max="6655" width="1.7109375" style="1" customWidth="1"/>
    <col min="6656" max="6659" width="12" style="1" customWidth="1"/>
    <col min="6660" max="6660" width="11.85546875" style="1" customWidth="1"/>
    <col min="6661" max="6661" width="10.7109375" style="1" customWidth="1"/>
    <col min="6662" max="6662" width="10.5703125" style="1" customWidth="1"/>
    <col min="6663" max="6663" width="1.140625" style="1" customWidth="1"/>
    <col min="6664" max="6664" width="11.28515625" style="1" customWidth="1"/>
    <col min="6665" max="6665" width="12.7109375" style="1" customWidth="1"/>
    <col min="6666" max="6666" width="11.5703125" style="1" customWidth="1"/>
    <col min="6667" max="6667" width="12.42578125" style="1" customWidth="1"/>
    <col min="6668" max="6668" width="1.5703125" style="1" customWidth="1"/>
    <col min="6669" max="6669" width="11.42578125" style="1" customWidth="1"/>
    <col min="6670" max="6670" width="12.140625" style="1" customWidth="1"/>
    <col min="6671" max="6671" width="1.7109375" style="1" customWidth="1"/>
    <col min="6672" max="6672" width="13.5703125" style="1" customWidth="1"/>
    <col min="6673" max="6909" width="9.140625" style="1"/>
    <col min="6910" max="6910" width="9.28515625" style="1" customWidth="1"/>
    <col min="6911" max="6911" width="1.7109375" style="1" customWidth="1"/>
    <col min="6912" max="6915" width="12" style="1" customWidth="1"/>
    <col min="6916" max="6916" width="11.85546875" style="1" customWidth="1"/>
    <col min="6917" max="6917" width="10.7109375" style="1" customWidth="1"/>
    <col min="6918" max="6918" width="10.5703125" style="1" customWidth="1"/>
    <col min="6919" max="6919" width="1.140625" style="1" customWidth="1"/>
    <col min="6920" max="6920" width="11.28515625" style="1" customWidth="1"/>
    <col min="6921" max="6921" width="12.7109375" style="1" customWidth="1"/>
    <col min="6922" max="6922" width="11.5703125" style="1" customWidth="1"/>
    <col min="6923" max="6923" width="12.42578125" style="1" customWidth="1"/>
    <col min="6924" max="6924" width="1.5703125" style="1" customWidth="1"/>
    <col min="6925" max="6925" width="11.42578125" style="1" customWidth="1"/>
    <col min="6926" max="6926" width="12.140625" style="1" customWidth="1"/>
    <col min="6927" max="6927" width="1.7109375" style="1" customWidth="1"/>
    <col min="6928" max="6928" width="13.5703125" style="1" customWidth="1"/>
    <col min="6929" max="7165" width="9.140625" style="1"/>
    <col min="7166" max="7166" width="9.28515625" style="1" customWidth="1"/>
    <col min="7167" max="7167" width="1.7109375" style="1" customWidth="1"/>
    <col min="7168" max="7171" width="12" style="1" customWidth="1"/>
    <col min="7172" max="7172" width="11.85546875" style="1" customWidth="1"/>
    <col min="7173" max="7173" width="10.7109375" style="1" customWidth="1"/>
    <col min="7174" max="7174" width="10.5703125" style="1" customWidth="1"/>
    <col min="7175" max="7175" width="1.140625" style="1" customWidth="1"/>
    <col min="7176" max="7176" width="11.28515625" style="1" customWidth="1"/>
    <col min="7177" max="7177" width="12.7109375" style="1" customWidth="1"/>
    <col min="7178" max="7178" width="11.5703125" style="1" customWidth="1"/>
    <col min="7179" max="7179" width="12.42578125" style="1" customWidth="1"/>
    <col min="7180" max="7180" width="1.5703125" style="1" customWidth="1"/>
    <col min="7181" max="7181" width="11.42578125" style="1" customWidth="1"/>
    <col min="7182" max="7182" width="12.140625" style="1" customWidth="1"/>
    <col min="7183" max="7183" width="1.7109375" style="1" customWidth="1"/>
    <col min="7184" max="7184" width="13.5703125" style="1" customWidth="1"/>
    <col min="7185" max="7421" width="9.140625" style="1"/>
    <col min="7422" max="7422" width="9.28515625" style="1" customWidth="1"/>
    <col min="7423" max="7423" width="1.7109375" style="1" customWidth="1"/>
    <col min="7424" max="7427" width="12" style="1" customWidth="1"/>
    <col min="7428" max="7428" width="11.85546875" style="1" customWidth="1"/>
    <col min="7429" max="7429" width="10.7109375" style="1" customWidth="1"/>
    <col min="7430" max="7430" width="10.5703125" style="1" customWidth="1"/>
    <col min="7431" max="7431" width="1.140625" style="1" customWidth="1"/>
    <col min="7432" max="7432" width="11.28515625" style="1" customWidth="1"/>
    <col min="7433" max="7433" width="12.7109375" style="1" customWidth="1"/>
    <col min="7434" max="7434" width="11.5703125" style="1" customWidth="1"/>
    <col min="7435" max="7435" width="12.42578125" style="1" customWidth="1"/>
    <col min="7436" max="7436" width="1.5703125" style="1" customWidth="1"/>
    <col min="7437" max="7437" width="11.42578125" style="1" customWidth="1"/>
    <col min="7438" max="7438" width="12.140625" style="1" customWidth="1"/>
    <col min="7439" max="7439" width="1.7109375" style="1" customWidth="1"/>
    <col min="7440" max="7440" width="13.5703125" style="1" customWidth="1"/>
    <col min="7441" max="7677" width="9.140625" style="1"/>
    <col min="7678" max="7678" width="9.28515625" style="1" customWidth="1"/>
    <col min="7679" max="7679" width="1.7109375" style="1" customWidth="1"/>
    <col min="7680" max="7683" width="12" style="1" customWidth="1"/>
    <col min="7684" max="7684" width="11.85546875" style="1" customWidth="1"/>
    <col min="7685" max="7685" width="10.7109375" style="1" customWidth="1"/>
    <col min="7686" max="7686" width="10.5703125" style="1" customWidth="1"/>
    <col min="7687" max="7687" width="1.140625" style="1" customWidth="1"/>
    <col min="7688" max="7688" width="11.28515625" style="1" customWidth="1"/>
    <col min="7689" max="7689" width="12.7109375" style="1" customWidth="1"/>
    <col min="7690" max="7690" width="11.5703125" style="1" customWidth="1"/>
    <col min="7691" max="7691" width="12.42578125" style="1" customWidth="1"/>
    <col min="7692" max="7692" width="1.5703125" style="1" customWidth="1"/>
    <col min="7693" max="7693" width="11.42578125" style="1" customWidth="1"/>
    <col min="7694" max="7694" width="12.140625" style="1" customWidth="1"/>
    <col min="7695" max="7695" width="1.7109375" style="1" customWidth="1"/>
    <col min="7696" max="7696" width="13.5703125" style="1" customWidth="1"/>
    <col min="7697" max="7933" width="9.140625" style="1"/>
    <col min="7934" max="7934" width="9.28515625" style="1" customWidth="1"/>
    <col min="7935" max="7935" width="1.7109375" style="1" customWidth="1"/>
    <col min="7936" max="7939" width="12" style="1" customWidth="1"/>
    <col min="7940" max="7940" width="11.85546875" style="1" customWidth="1"/>
    <col min="7941" max="7941" width="10.7109375" style="1" customWidth="1"/>
    <col min="7942" max="7942" width="10.5703125" style="1" customWidth="1"/>
    <col min="7943" max="7943" width="1.140625" style="1" customWidth="1"/>
    <col min="7944" max="7944" width="11.28515625" style="1" customWidth="1"/>
    <col min="7945" max="7945" width="12.7109375" style="1" customWidth="1"/>
    <col min="7946" max="7946" width="11.5703125" style="1" customWidth="1"/>
    <col min="7947" max="7947" width="12.42578125" style="1" customWidth="1"/>
    <col min="7948" max="7948" width="1.5703125" style="1" customWidth="1"/>
    <col min="7949" max="7949" width="11.42578125" style="1" customWidth="1"/>
    <col min="7950" max="7950" width="12.140625" style="1" customWidth="1"/>
    <col min="7951" max="7951" width="1.7109375" style="1" customWidth="1"/>
    <col min="7952" max="7952" width="13.5703125" style="1" customWidth="1"/>
    <col min="7953" max="8189" width="9.140625" style="1"/>
    <col min="8190" max="8190" width="9.28515625" style="1" customWidth="1"/>
    <col min="8191" max="8191" width="1.7109375" style="1" customWidth="1"/>
    <col min="8192" max="8195" width="12" style="1" customWidth="1"/>
    <col min="8196" max="8196" width="11.85546875" style="1" customWidth="1"/>
    <col min="8197" max="8197" width="10.7109375" style="1" customWidth="1"/>
    <col min="8198" max="8198" width="10.5703125" style="1" customWidth="1"/>
    <col min="8199" max="8199" width="1.140625" style="1" customWidth="1"/>
    <col min="8200" max="8200" width="11.28515625" style="1" customWidth="1"/>
    <col min="8201" max="8201" width="12.7109375" style="1" customWidth="1"/>
    <col min="8202" max="8202" width="11.5703125" style="1" customWidth="1"/>
    <col min="8203" max="8203" width="12.42578125" style="1" customWidth="1"/>
    <col min="8204" max="8204" width="1.5703125" style="1" customWidth="1"/>
    <col min="8205" max="8205" width="11.42578125" style="1" customWidth="1"/>
    <col min="8206" max="8206" width="12.140625" style="1" customWidth="1"/>
    <col min="8207" max="8207" width="1.7109375" style="1" customWidth="1"/>
    <col min="8208" max="8208" width="13.5703125" style="1" customWidth="1"/>
    <col min="8209" max="8445" width="9.140625" style="1"/>
    <col min="8446" max="8446" width="9.28515625" style="1" customWidth="1"/>
    <col min="8447" max="8447" width="1.7109375" style="1" customWidth="1"/>
    <col min="8448" max="8451" width="12" style="1" customWidth="1"/>
    <col min="8452" max="8452" width="11.85546875" style="1" customWidth="1"/>
    <col min="8453" max="8453" width="10.7109375" style="1" customWidth="1"/>
    <col min="8454" max="8454" width="10.5703125" style="1" customWidth="1"/>
    <col min="8455" max="8455" width="1.140625" style="1" customWidth="1"/>
    <col min="8456" max="8456" width="11.28515625" style="1" customWidth="1"/>
    <col min="8457" max="8457" width="12.7109375" style="1" customWidth="1"/>
    <col min="8458" max="8458" width="11.5703125" style="1" customWidth="1"/>
    <col min="8459" max="8459" width="12.42578125" style="1" customWidth="1"/>
    <col min="8460" max="8460" width="1.5703125" style="1" customWidth="1"/>
    <col min="8461" max="8461" width="11.42578125" style="1" customWidth="1"/>
    <col min="8462" max="8462" width="12.140625" style="1" customWidth="1"/>
    <col min="8463" max="8463" width="1.7109375" style="1" customWidth="1"/>
    <col min="8464" max="8464" width="13.5703125" style="1" customWidth="1"/>
    <col min="8465" max="8701" width="9.140625" style="1"/>
    <col min="8702" max="8702" width="9.28515625" style="1" customWidth="1"/>
    <col min="8703" max="8703" width="1.7109375" style="1" customWidth="1"/>
    <col min="8704" max="8707" width="12" style="1" customWidth="1"/>
    <col min="8708" max="8708" width="11.85546875" style="1" customWidth="1"/>
    <col min="8709" max="8709" width="10.7109375" style="1" customWidth="1"/>
    <col min="8710" max="8710" width="10.5703125" style="1" customWidth="1"/>
    <col min="8711" max="8711" width="1.140625" style="1" customWidth="1"/>
    <col min="8712" max="8712" width="11.28515625" style="1" customWidth="1"/>
    <col min="8713" max="8713" width="12.7109375" style="1" customWidth="1"/>
    <col min="8714" max="8714" width="11.5703125" style="1" customWidth="1"/>
    <col min="8715" max="8715" width="12.42578125" style="1" customWidth="1"/>
    <col min="8716" max="8716" width="1.5703125" style="1" customWidth="1"/>
    <col min="8717" max="8717" width="11.42578125" style="1" customWidth="1"/>
    <col min="8718" max="8718" width="12.140625" style="1" customWidth="1"/>
    <col min="8719" max="8719" width="1.7109375" style="1" customWidth="1"/>
    <col min="8720" max="8720" width="13.5703125" style="1" customWidth="1"/>
    <col min="8721" max="8957" width="9.140625" style="1"/>
    <col min="8958" max="8958" width="9.28515625" style="1" customWidth="1"/>
    <col min="8959" max="8959" width="1.7109375" style="1" customWidth="1"/>
    <col min="8960" max="8963" width="12" style="1" customWidth="1"/>
    <col min="8964" max="8964" width="11.85546875" style="1" customWidth="1"/>
    <col min="8965" max="8965" width="10.7109375" style="1" customWidth="1"/>
    <col min="8966" max="8966" width="10.5703125" style="1" customWidth="1"/>
    <col min="8967" max="8967" width="1.140625" style="1" customWidth="1"/>
    <col min="8968" max="8968" width="11.28515625" style="1" customWidth="1"/>
    <col min="8969" max="8969" width="12.7109375" style="1" customWidth="1"/>
    <col min="8970" max="8970" width="11.5703125" style="1" customWidth="1"/>
    <col min="8971" max="8971" width="12.42578125" style="1" customWidth="1"/>
    <col min="8972" max="8972" width="1.5703125" style="1" customWidth="1"/>
    <col min="8973" max="8973" width="11.42578125" style="1" customWidth="1"/>
    <col min="8974" max="8974" width="12.140625" style="1" customWidth="1"/>
    <col min="8975" max="8975" width="1.7109375" style="1" customWidth="1"/>
    <col min="8976" max="8976" width="13.5703125" style="1" customWidth="1"/>
    <col min="8977" max="9213" width="9.140625" style="1"/>
    <col min="9214" max="9214" width="9.28515625" style="1" customWidth="1"/>
    <col min="9215" max="9215" width="1.7109375" style="1" customWidth="1"/>
    <col min="9216" max="9219" width="12" style="1" customWidth="1"/>
    <col min="9220" max="9220" width="11.85546875" style="1" customWidth="1"/>
    <col min="9221" max="9221" width="10.7109375" style="1" customWidth="1"/>
    <col min="9222" max="9222" width="10.5703125" style="1" customWidth="1"/>
    <col min="9223" max="9223" width="1.140625" style="1" customWidth="1"/>
    <col min="9224" max="9224" width="11.28515625" style="1" customWidth="1"/>
    <col min="9225" max="9225" width="12.7109375" style="1" customWidth="1"/>
    <col min="9226" max="9226" width="11.5703125" style="1" customWidth="1"/>
    <col min="9227" max="9227" width="12.42578125" style="1" customWidth="1"/>
    <col min="9228" max="9228" width="1.5703125" style="1" customWidth="1"/>
    <col min="9229" max="9229" width="11.42578125" style="1" customWidth="1"/>
    <col min="9230" max="9230" width="12.140625" style="1" customWidth="1"/>
    <col min="9231" max="9231" width="1.7109375" style="1" customWidth="1"/>
    <col min="9232" max="9232" width="13.5703125" style="1" customWidth="1"/>
    <col min="9233" max="9469" width="9.140625" style="1"/>
    <col min="9470" max="9470" width="9.28515625" style="1" customWidth="1"/>
    <col min="9471" max="9471" width="1.7109375" style="1" customWidth="1"/>
    <col min="9472" max="9475" width="12" style="1" customWidth="1"/>
    <col min="9476" max="9476" width="11.85546875" style="1" customWidth="1"/>
    <col min="9477" max="9477" width="10.7109375" style="1" customWidth="1"/>
    <col min="9478" max="9478" width="10.5703125" style="1" customWidth="1"/>
    <col min="9479" max="9479" width="1.140625" style="1" customWidth="1"/>
    <col min="9480" max="9480" width="11.28515625" style="1" customWidth="1"/>
    <col min="9481" max="9481" width="12.7109375" style="1" customWidth="1"/>
    <col min="9482" max="9482" width="11.5703125" style="1" customWidth="1"/>
    <col min="9483" max="9483" width="12.42578125" style="1" customWidth="1"/>
    <col min="9484" max="9484" width="1.5703125" style="1" customWidth="1"/>
    <col min="9485" max="9485" width="11.42578125" style="1" customWidth="1"/>
    <col min="9486" max="9486" width="12.140625" style="1" customWidth="1"/>
    <col min="9487" max="9487" width="1.7109375" style="1" customWidth="1"/>
    <col min="9488" max="9488" width="13.5703125" style="1" customWidth="1"/>
    <col min="9489" max="9725" width="9.140625" style="1"/>
    <col min="9726" max="9726" width="9.28515625" style="1" customWidth="1"/>
    <col min="9727" max="9727" width="1.7109375" style="1" customWidth="1"/>
    <col min="9728" max="9731" width="12" style="1" customWidth="1"/>
    <col min="9732" max="9732" width="11.85546875" style="1" customWidth="1"/>
    <col min="9733" max="9733" width="10.7109375" style="1" customWidth="1"/>
    <col min="9734" max="9734" width="10.5703125" style="1" customWidth="1"/>
    <col min="9735" max="9735" width="1.140625" style="1" customWidth="1"/>
    <col min="9736" max="9736" width="11.28515625" style="1" customWidth="1"/>
    <col min="9737" max="9737" width="12.7109375" style="1" customWidth="1"/>
    <col min="9738" max="9738" width="11.5703125" style="1" customWidth="1"/>
    <col min="9739" max="9739" width="12.42578125" style="1" customWidth="1"/>
    <col min="9740" max="9740" width="1.5703125" style="1" customWidth="1"/>
    <col min="9741" max="9741" width="11.42578125" style="1" customWidth="1"/>
    <col min="9742" max="9742" width="12.140625" style="1" customWidth="1"/>
    <col min="9743" max="9743" width="1.7109375" style="1" customWidth="1"/>
    <col min="9744" max="9744" width="13.5703125" style="1" customWidth="1"/>
    <col min="9745" max="9981" width="9.140625" style="1"/>
    <col min="9982" max="9982" width="9.28515625" style="1" customWidth="1"/>
    <col min="9983" max="9983" width="1.7109375" style="1" customWidth="1"/>
    <col min="9984" max="9987" width="12" style="1" customWidth="1"/>
    <col min="9988" max="9988" width="11.85546875" style="1" customWidth="1"/>
    <col min="9989" max="9989" width="10.7109375" style="1" customWidth="1"/>
    <col min="9990" max="9990" width="10.5703125" style="1" customWidth="1"/>
    <col min="9991" max="9991" width="1.140625" style="1" customWidth="1"/>
    <col min="9992" max="9992" width="11.28515625" style="1" customWidth="1"/>
    <col min="9993" max="9993" width="12.7109375" style="1" customWidth="1"/>
    <col min="9994" max="9994" width="11.5703125" style="1" customWidth="1"/>
    <col min="9995" max="9995" width="12.42578125" style="1" customWidth="1"/>
    <col min="9996" max="9996" width="1.5703125" style="1" customWidth="1"/>
    <col min="9997" max="9997" width="11.42578125" style="1" customWidth="1"/>
    <col min="9998" max="9998" width="12.140625" style="1" customWidth="1"/>
    <col min="9999" max="9999" width="1.7109375" style="1" customWidth="1"/>
    <col min="10000" max="10000" width="13.5703125" style="1" customWidth="1"/>
    <col min="10001" max="10237" width="9.140625" style="1"/>
    <col min="10238" max="10238" width="9.28515625" style="1" customWidth="1"/>
    <col min="10239" max="10239" width="1.7109375" style="1" customWidth="1"/>
    <col min="10240" max="10243" width="12" style="1" customWidth="1"/>
    <col min="10244" max="10244" width="11.85546875" style="1" customWidth="1"/>
    <col min="10245" max="10245" width="10.7109375" style="1" customWidth="1"/>
    <col min="10246" max="10246" width="10.5703125" style="1" customWidth="1"/>
    <col min="10247" max="10247" width="1.140625" style="1" customWidth="1"/>
    <col min="10248" max="10248" width="11.28515625" style="1" customWidth="1"/>
    <col min="10249" max="10249" width="12.7109375" style="1" customWidth="1"/>
    <col min="10250" max="10250" width="11.5703125" style="1" customWidth="1"/>
    <col min="10251" max="10251" width="12.42578125" style="1" customWidth="1"/>
    <col min="10252" max="10252" width="1.5703125" style="1" customWidth="1"/>
    <col min="10253" max="10253" width="11.42578125" style="1" customWidth="1"/>
    <col min="10254" max="10254" width="12.140625" style="1" customWidth="1"/>
    <col min="10255" max="10255" width="1.7109375" style="1" customWidth="1"/>
    <col min="10256" max="10256" width="13.5703125" style="1" customWidth="1"/>
    <col min="10257" max="10493" width="9.140625" style="1"/>
    <col min="10494" max="10494" width="9.28515625" style="1" customWidth="1"/>
    <col min="10495" max="10495" width="1.7109375" style="1" customWidth="1"/>
    <col min="10496" max="10499" width="12" style="1" customWidth="1"/>
    <col min="10500" max="10500" width="11.85546875" style="1" customWidth="1"/>
    <col min="10501" max="10501" width="10.7109375" style="1" customWidth="1"/>
    <col min="10502" max="10502" width="10.5703125" style="1" customWidth="1"/>
    <col min="10503" max="10503" width="1.140625" style="1" customWidth="1"/>
    <col min="10504" max="10504" width="11.28515625" style="1" customWidth="1"/>
    <col min="10505" max="10505" width="12.7109375" style="1" customWidth="1"/>
    <col min="10506" max="10506" width="11.5703125" style="1" customWidth="1"/>
    <col min="10507" max="10507" width="12.42578125" style="1" customWidth="1"/>
    <col min="10508" max="10508" width="1.5703125" style="1" customWidth="1"/>
    <col min="10509" max="10509" width="11.42578125" style="1" customWidth="1"/>
    <col min="10510" max="10510" width="12.140625" style="1" customWidth="1"/>
    <col min="10511" max="10511" width="1.7109375" style="1" customWidth="1"/>
    <col min="10512" max="10512" width="13.5703125" style="1" customWidth="1"/>
    <col min="10513" max="10749" width="9.140625" style="1"/>
    <col min="10750" max="10750" width="9.28515625" style="1" customWidth="1"/>
    <col min="10751" max="10751" width="1.7109375" style="1" customWidth="1"/>
    <col min="10752" max="10755" width="12" style="1" customWidth="1"/>
    <col min="10756" max="10756" width="11.85546875" style="1" customWidth="1"/>
    <col min="10757" max="10757" width="10.7109375" style="1" customWidth="1"/>
    <col min="10758" max="10758" width="10.5703125" style="1" customWidth="1"/>
    <col min="10759" max="10759" width="1.140625" style="1" customWidth="1"/>
    <col min="10760" max="10760" width="11.28515625" style="1" customWidth="1"/>
    <col min="10761" max="10761" width="12.7109375" style="1" customWidth="1"/>
    <col min="10762" max="10762" width="11.5703125" style="1" customWidth="1"/>
    <col min="10763" max="10763" width="12.42578125" style="1" customWidth="1"/>
    <col min="10764" max="10764" width="1.5703125" style="1" customWidth="1"/>
    <col min="10765" max="10765" width="11.42578125" style="1" customWidth="1"/>
    <col min="10766" max="10766" width="12.140625" style="1" customWidth="1"/>
    <col min="10767" max="10767" width="1.7109375" style="1" customWidth="1"/>
    <col min="10768" max="10768" width="13.5703125" style="1" customWidth="1"/>
    <col min="10769" max="11005" width="9.140625" style="1"/>
    <col min="11006" max="11006" width="9.28515625" style="1" customWidth="1"/>
    <col min="11007" max="11007" width="1.7109375" style="1" customWidth="1"/>
    <col min="11008" max="11011" width="12" style="1" customWidth="1"/>
    <col min="11012" max="11012" width="11.85546875" style="1" customWidth="1"/>
    <col min="11013" max="11013" width="10.7109375" style="1" customWidth="1"/>
    <col min="11014" max="11014" width="10.5703125" style="1" customWidth="1"/>
    <col min="11015" max="11015" width="1.140625" style="1" customWidth="1"/>
    <col min="11016" max="11016" width="11.28515625" style="1" customWidth="1"/>
    <col min="11017" max="11017" width="12.7109375" style="1" customWidth="1"/>
    <col min="11018" max="11018" width="11.5703125" style="1" customWidth="1"/>
    <col min="11019" max="11019" width="12.42578125" style="1" customWidth="1"/>
    <col min="11020" max="11020" width="1.5703125" style="1" customWidth="1"/>
    <col min="11021" max="11021" width="11.42578125" style="1" customWidth="1"/>
    <col min="11022" max="11022" width="12.140625" style="1" customWidth="1"/>
    <col min="11023" max="11023" width="1.7109375" style="1" customWidth="1"/>
    <col min="11024" max="11024" width="13.5703125" style="1" customWidth="1"/>
    <col min="11025" max="11261" width="9.140625" style="1"/>
    <col min="11262" max="11262" width="9.28515625" style="1" customWidth="1"/>
    <col min="11263" max="11263" width="1.7109375" style="1" customWidth="1"/>
    <col min="11264" max="11267" width="12" style="1" customWidth="1"/>
    <col min="11268" max="11268" width="11.85546875" style="1" customWidth="1"/>
    <col min="11269" max="11269" width="10.7109375" style="1" customWidth="1"/>
    <col min="11270" max="11270" width="10.5703125" style="1" customWidth="1"/>
    <col min="11271" max="11271" width="1.140625" style="1" customWidth="1"/>
    <col min="11272" max="11272" width="11.28515625" style="1" customWidth="1"/>
    <col min="11273" max="11273" width="12.7109375" style="1" customWidth="1"/>
    <col min="11274" max="11274" width="11.5703125" style="1" customWidth="1"/>
    <col min="11275" max="11275" width="12.42578125" style="1" customWidth="1"/>
    <col min="11276" max="11276" width="1.5703125" style="1" customWidth="1"/>
    <col min="11277" max="11277" width="11.42578125" style="1" customWidth="1"/>
    <col min="11278" max="11278" width="12.140625" style="1" customWidth="1"/>
    <col min="11279" max="11279" width="1.7109375" style="1" customWidth="1"/>
    <col min="11280" max="11280" width="13.5703125" style="1" customWidth="1"/>
    <col min="11281" max="11517" width="9.140625" style="1"/>
    <col min="11518" max="11518" width="9.28515625" style="1" customWidth="1"/>
    <col min="11519" max="11519" width="1.7109375" style="1" customWidth="1"/>
    <col min="11520" max="11523" width="12" style="1" customWidth="1"/>
    <col min="11524" max="11524" width="11.85546875" style="1" customWidth="1"/>
    <col min="11525" max="11525" width="10.7109375" style="1" customWidth="1"/>
    <col min="11526" max="11526" width="10.5703125" style="1" customWidth="1"/>
    <col min="11527" max="11527" width="1.140625" style="1" customWidth="1"/>
    <col min="11528" max="11528" width="11.28515625" style="1" customWidth="1"/>
    <col min="11529" max="11529" width="12.7109375" style="1" customWidth="1"/>
    <col min="11530" max="11530" width="11.5703125" style="1" customWidth="1"/>
    <col min="11531" max="11531" width="12.42578125" style="1" customWidth="1"/>
    <col min="11532" max="11532" width="1.5703125" style="1" customWidth="1"/>
    <col min="11533" max="11533" width="11.42578125" style="1" customWidth="1"/>
    <col min="11534" max="11534" width="12.140625" style="1" customWidth="1"/>
    <col min="11535" max="11535" width="1.7109375" style="1" customWidth="1"/>
    <col min="11536" max="11536" width="13.5703125" style="1" customWidth="1"/>
    <col min="11537" max="11773" width="9.140625" style="1"/>
    <col min="11774" max="11774" width="9.28515625" style="1" customWidth="1"/>
    <col min="11775" max="11775" width="1.7109375" style="1" customWidth="1"/>
    <col min="11776" max="11779" width="12" style="1" customWidth="1"/>
    <col min="11780" max="11780" width="11.85546875" style="1" customWidth="1"/>
    <col min="11781" max="11781" width="10.7109375" style="1" customWidth="1"/>
    <col min="11782" max="11782" width="10.5703125" style="1" customWidth="1"/>
    <col min="11783" max="11783" width="1.140625" style="1" customWidth="1"/>
    <col min="11784" max="11784" width="11.28515625" style="1" customWidth="1"/>
    <col min="11785" max="11785" width="12.7109375" style="1" customWidth="1"/>
    <col min="11786" max="11786" width="11.5703125" style="1" customWidth="1"/>
    <col min="11787" max="11787" width="12.42578125" style="1" customWidth="1"/>
    <col min="11788" max="11788" width="1.5703125" style="1" customWidth="1"/>
    <col min="11789" max="11789" width="11.42578125" style="1" customWidth="1"/>
    <col min="11790" max="11790" width="12.140625" style="1" customWidth="1"/>
    <col min="11791" max="11791" width="1.7109375" style="1" customWidth="1"/>
    <col min="11792" max="11792" width="13.5703125" style="1" customWidth="1"/>
    <col min="11793" max="12029" width="9.140625" style="1"/>
    <col min="12030" max="12030" width="9.28515625" style="1" customWidth="1"/>
    <col min="12031" max="12031" width="1.7109375" style="1" customWidth="1"/>
    <col min="12032" max="12035" width="12" style="1" customWidth="1"/>
    <col min="12036" max="12036" width="11.85546875" style="1" customWidth="1"/>
    <col min="12037" max="12037" width="10.7109375" style="1" customWidth="1"/>
    <col min="12038" max="12038" width="10.5703125" style="1" customWidth="1"/>
    <col min="12039" max="12039" width="1.140625" style="1" customWidth="1"/>
    <col min="12040" max="12040" width="11.28515625" style="1" customWidth="1"/>
    <col min="12041" max="12041" width="12.7109375" style="1" customWidth="1"/>
    <col min="12042" max="12042" width="11.5703125" style="1" customWidth="1"/>
    <col min="12043" max="12043" width="12.42578125" style="1" customWidth="1"/>
    <col min="12044" max="12044" width="1.5703125" style="1" customWidth="1"/>
    <col min="12045" max="12045" width="11.42578125" style="1" customWidth="1"/>
    <col min="12046" max="12046" width="12.140625" style="1" customWidth="1"/>
    <col min="12047" max="12047" width="1.7109375" style="1" customWidth="1"/>
    <col min="12048" max="12048" width="13.5703125" style="1" customWidth="1"/>
    <col min="12049" max="12285" width="9.140625" style="1"/>
    <col min="12286" max="12286" width="9.28515625" style="1" customWidth="1"/>
    <col min="12287" max="12287" width="1.7109375" style="1" customWidth="1"/>
    <col min="12288" max="12291" width="12" style="1" customWidth="1"/>
    <col min="12292" max="12292" width="11.85546875" style="1" customWidth="1"/>
    <col min="12293" max="12293" width="10.7109375" style="1" customWidth="1"/>
    <col min="12294" max="12294" width="10.5703125" style="1" customWidth="1"/>
    <col min="12295" max="12295" width="1.140625" style="1" customWidth="1"/>
    <col min="12296" max="12296" width="11.28515625" style="1" customWidth="1"/>
    <col min="12297" max="12297" width="12.7109375" style="1" customWidth="1"/>
    <col min="12298" max="12298" width="11.5703125" style="1" customWidth="1"/>
    <col min="12299" max="12299" width="12.42578125" style="1" customWidth="1"/>
    <col min="12300" max="12300" width="1.5703125" style="1" customWidth="1"/>
    <col min="12301" max="12301" width="11.42578125" style="1" customWidth="1"/>
    <col min="12302" max="12302" width="12.140625" style="1" customWidth="1"/>
    <col min="12303" max="12303" width="1.7109375" style="1" customWidth="1"/>
    <col min="12304" max="12304" width="13.5703125" style="1" customWidth="1"/>
    <col min="12305" max="12541" width="9.140625" style="1"/>
    <col min="12542" max="12542" width="9.28515625" style="1" customWidth="1"/>
    <col min="12543" max="12543" width="1.7109375" style="1" customWidth="1"/>
    <col min="12544" max="12547" width="12" style="1" customWidth="1"/>
    <col min="12548" max="12548" width="11.85546875" style="1" customWidth="1"/>
    <col min="12549" max="12549" width="10.7109375" style="1" customWidth="1"/>
    <col min="12550" max="12550" width="10.5703125" style="1" customWidth="1"/>
    <col min="12551" max="12551" width="1.140625" style="1" customWidth="1"/>
    <col min="12552" max="12552" width="11.28515625" style="1" customWidth="1"/>
    <col min="12553" max="12553" width="12.7109375" style="1" customWidth="1"/>
    <col min="12554" max="12554" width="11.5703125" style="1" customWidth="1"/>
    <col min="12555" max="12555" width="12.42578125" style="1" customWidth="1"/>
    <col min="12556" max="12556" width="1.5703125" style="1" customWidth="1"/>
    <col min="12557" max="12557" width="11.42578125" style="1" customWidth="1"/>
    <col min="12558" max="12558" width="12.140625" style="1" customWidth="1"/>
    <col min="12559" max="12559" width="1.7109375" style="1" customWidth="1"/>
    <col min="12560" max="12560" width="13.5703125" style="1" customWidth="1"/>
    <col min="12561" max="12797" width="9.140625" style="1"/>
    <col min="12798" max="12798" width="9.28515625" style="1" customWidth="1"/>
    <col min="12799" max="12799" width="1.7109375" style="1" customWidth="1"/>
    <col min="12800" max="12803" width="12" style="1" customWidth="1"/>
    <col min="12804" max="12804" width="11.85546875" style="1" customWidth="1"/>
    <col min="12805" max="12805" width="10.7109375" style="1" customWidth="1"/>
    <col min="12806" max="12806" width="10.5703125" style="1" customWidth="1"/>
    <col min="12807" max="12807" width="1.140625" style="1" customWidth="1"/>
    <col min="12808" max="12808" width="11.28515625" style="1" customWidth="1"/>
    <col min="12809" max="12809" width="12.7109375" style="1" customWidth="1"/>
    <col min="12810" max="12810" width="11.5703125" style="1" customWidth="1"/>
    <col min="12811" max="12811" width="12.42578125" style="1" customWidth="1"/>
    <col min="12812" max="12812" width="1.5703125" style="1" customWidth="1"/>
    <col min="12813" max="12813" width="11.42578125" style="1" customWidth="1"/>
    <col min="12814" max="12814" width="12.140625" style="1" customWidth="1"/>
    <col min="12815" max="12815" width="1.7109375" style="1" customWidth="1"/>
    <col min="12816" max="12816" width="13.5703125" style="1" customWidth="1"/>
    <col min="12817" max="13053" width="9.140625" style="1"/>
    <col min="13054" max="13054" width="9.28515625" style="1" customWidth="1"/>
    <col min="13055" max="13055" width="1.7109375" style="1" customWidth="1"/>
    <col min="13056" max="13059" width="12" style="1" customWidth="1"/>
    <col min="13060" max="13060" width="11.85546875" style="1" customWidth="1"/>
    <col min="13061" max="13061" width="10.7109375" style="1" customWidth="1"/>
    <col min="13062" max="13062" width="10.5703125" style="1" customWidth="1"/>
    <col min="13063" max="13063" width="1.140625" style="1" customWidth="1"/>
    <col min="13064" max="13064" width="11.28515625" style="1" customWidth="1"/>
    <col min="13065" max="13065" width="12.7109375" style="1" customWidth="1"/>
    <col min="13066" max="13066" width="11.5703125" style="1" customWidth="1"/>
    <col min="13067" max="13067" width="12.42578125" style="1" customWidth="1"/>
    <col min="13068" max="13068" width="1.5703125" style="1" customWidth="1"/>
    <col min="13069" max="13069" width="11.42578125" style="1" customWidth="1"/>
    <col min="13070" max="13070" width="12.140625" style="1" customWidth="1"/>
    <col min="13071" max="13071" width="1.7109375" style="1" customWidth="1"/>
    <col min="13072" max="13072" width="13.5703125" style="1" customWidth="1"/>
    <col min="13073" max="13309" width="9.140625" style="1"/>
    <col min="13310" max="13310" width="9.28515625" style="1" customWidth="1"/>
    <col min="13311" max="13311" width="1.7109375" style="1" customWidth="1"/>
    <col min="13312" max="13315" width="12" style="1" customWidth="1"/>
    <col min="13316" max="13316" width="11.85546875" style="1" customWidth="1"/>
    <col min="13317" max="13317" width="10.7109375" style="1" customWidth="1"/>
    <col min="13318" max="13318" width="10.5703125" style="1" customWidth="1"/>
    <col min="13319" max="13319" width="1.140625" style="1" customWidth="1"/>
    <col min="13320" max="13320" width="11.28515625" style="1" customWidth="1"/>
    <col min="13321" max="13321" width="12.7109375" style="1" customWidth="1"/>
    <col min="13322" max="13322" width="11.5703125" style="1" customWidth="1"/>
    <col min="13323" max="13323" width="12.42578125" style="1" customWidth="1"/>
    <col min="13324" max="13324" width="1.5703125" style="1" customWidth="1"/>
    <col min="13325" max="13325" width="11.42578125" style="1" customWidth="1"/>
    <col min="13326" max="13326" width="12.140625" style="1" customWidth="1"/>
    <col min="13327" max="13327" width="1.7109375" style="1" customWidth="1"/>
    <col min="13328" max="13328" width="13.5703125" style="1" customWidth="1"/>
    <col min="13329" max="13565" width="9.140625" style="1"/>
    <col min="13566" max="13566" width="9.28515625" style="1" customWidth="1"/>
    <col min="13567" max="13567" width="1.7109375" style="1" customWidth="1"/>
    <col min="13568" max="13571" width="12" style="1" customWidth="1"/>
    <col min="13572" max="13572" width="11.85546875" style="1" customWidth="1"/>
    <col min="13573" max="13573" width="10.7109375" style="1" customWidth="1"/>
    <col min="13574" max="13574" width="10.5703125" style="1" customWidth="1"/>
    <col min="13575" max="13575" width="1.140625" style="1" customWidth="1"/>
    <col min="13576" max="13576" width="11.28515625" style="1" customWidth="1"/>
    <col min="13577" max="13577" width="12.7109375" style="1" customWidth="1"/>
    <col min="13578" max="13578" width="11.5703125" style="1" customWidth="1"/>
    <col min="13579" max="13579" width="12.42578125" style="1" customWidth="1"/>
    <col min="13580" max="13580" width="1.5703125" style="1" customWidth="1"/>
    <col min="13581" max="13581" width="11.42578125" style="1" customWidth="1"/>
    <col min="13582" max="13582" width="12.140625" style="1" customWidth="1"/>
    <col min="13583" max="13583" width="1.7109375" style="1" customWidth="1"/>
    <col min="13584" max="13584" width="13.5703125" style="1" customWidth="1"/>
    <col min="13585" max="13821" width="9.140625" style="1"/>
    <col min="13822" max="13822" width="9.28515625" style="1" customWidth="1"/>
    <col min="13823" max="13823" width="1.7109375" style="1" customWidth="1"/>
    <col min="13824" max="13827" width="12" style="1" customWidth="1"/>
    <col min="13828" max="13828" width="11.85546875" style="1" customWidth="1"/>
    <col min="13829" max="13829" width="10.7109375" style="1" customWidth="1"/>
    <col min="13830" max="13830" width="10.5703125" style="1" customWidth="1"/>
    <col min="13831" max="13831" width="1.140625" style="1" customWidth="1"/>
    <col min="13832" max="13832" width="11.28515625" style="1" customWidth="1"/>
    <col min="13833" max="13833" width="12.7109375" style="1" customWidth="1"/>
    <col min="13834" max="13834" width="11.5703125" style="1" customWidth="1"/>
    <col min="13835" max="13835" width="12.42578125" style="1" customWidth="1"/>
    <col min="13836" max="13836" width="1.5703125" style="1" customWidth="1"/>
    <col min="13837" max="13837" width="11.42578125" style="1" customWidth="1"/>
    <col min="13838" max="13838" width="12.140625" style="1" customWidth="1"/>
    <col min="13839" max="13839" width="1.7109375" style="1" customWidth="1"/>
    <col min="13840" max="13840" width="13.5703125" style="1" customWidth="1"/>
    <col min="13841" max="14077" width="9.140625" style="1"/>
    <col min="14078" max="14078" width="9.28515625" style="1" customWidth="1"/>
    <col min="14079" max="14079" width="1.7109375" style="1" customWidth="1"/>
    <col min="14080" max="14083" width="12" style="1" customWidth="1"/>
    <col min="14084" max="14084" width="11.85546875" style="1" customWidth="1"/>
    <col min="14085" max="14085" width="10.7109375" style="1" customWidth="1"/>
    <col min="14086" max="14086" width="10.5703125" style="1" customWidth="1"/>
    <col min="14087" max="14087" width="1.140625" style="1" customWidth="1"/>
    <col min="14088" max="14088" width="11.28515625" style="1" customWidth="1"/>
    <col min="14089" max="14089" width="12.7109375" style="1" customWidth="1"/>
    <col min="14090" max="14090" width="11.5703125" style="1" customWidth="1"/>
    <col min="14091" max="14091" width="12.42578125" style="1" customWidth="1"/>
    <col min="14092" max="14092" width="1.5703125" style="1" customWidth="1"/>
    <col min="14093" max="14093" width="11.42578125" style="1" customWidth="1"/>
    <col min="14094" max="14094" width="12.140625" style="1" customWidth="1"/>
    <col min="14095" max="14095" width="1.7109375" style="1" customWidth="1"/>
    <col min="14096" max="14096" width="13.5703125" style="1" customWidth="1"/>
    <col min="14097" max="14333" width="9.140625" style="1"/>
    <col min="14334" max="14334" width="9.28515625" style="1" customWidth="1"/>
    <col min="14335" max="14335" width="1.7109375" style="1" customWidth="1"/>
    <col min="14336" max="14339" width="12" style="1" customWidth="1"/>
    <col min="14340" max="14340" width="11.85546875" style="1" customWidth="1"/>
    <col min="14341" max="14341" width="10.7109375" style="1" customWidth="1"/>
    <col min="14342" max="14342" width="10.5703125" style="1" customWidth="1"/>
    <col min="14343" max="14343" width="1.140625" style="1" customWidth="1"/>
    <col min="14344" max="14344" width="11.28515625" style="1" customWidth="1"/>
    <col min="14345" max="14345" width="12.7109375" style="1" customWidth="1"/>
    <col min="14346" max="14346" width="11.5703125" style="1" customWidth="1"/>
    <col min="14347" max="14347" width="12.42578125" style="1" customWidth="1"/>
    <col min="14348" max="14348" width="1.5703125" style="1" customWidth="1"/>
    <col min="14349" max="14349" width="11.42578125" style="1" customWidth="1"/>
    <col min="14350" max="14350" width="12.140625" style="1" customWidth="1"/>
    <col min="14351" max="14351" width="1.7109375" style="1" customWidth="1"/>
    <col min="14352" max="14352" width="13.5703125" style="1" customWidth="1"/>
    <col min="14353" max="14589" width="9.140625" style="1"/>
    <col min="14590" max="14590" width="9.28515625" style="1" customWidth="1"/>
    <col min="14591" max="14591" width="1.7109375" style="1" customWidth="1"/>
    <col min="14592" max="14595" width="12" style="1" customWidth="1"/>
    <col min="14596" max="14596" width="11.85546875" style="1" customWidth="1"/>
    <col min="14597" max="14597" width="10.7109375" style="1" customWidth="1"/>
    <col min="14598" max="14598" width="10.5703125" style="1" customWidth="1"/>
    <col min="14599" max="14599" width="1.140625" style="1" customWidth="1"/>
    <col min="14600" max="14600" width="11.28515625" style="1" customWidth="1"/>
    <col min="14601" max="14601" width="12.7109375" style="1" customWidth="1"/>
    <col min="14602" max="14602" width="11.5703125" style="1" customWidth="1"/>
    <col min="14603" max="14603" width="12.42578125" style="1" customWidth="1"/>
    <col min="14604" max="14604" width="1.5703125" style="1" customWidth="1"/>
    <col min="14605" max="14605" width="11.42578125" style="1" customWidth="1"/>
    <col min="14606" max="14606" width="12.140625" style="1" customWidth="1"/>
    <col min="14607" max="14607" width="1.7109375" style="1" customWidth="1"/>
    <col min="14608" max="14608" width="13.5703125" style="1" customWidth="1"/>
    <col min="14609" max="14845" width="9.140625" style="1"/>
    <col min="14846" max="14846" width="9.28515625" style="1" customWidth="1"/>
    <col min="14847" max="14847" width="1.7109375" style="1" customWidth="1"/>
    <col min="14848" max="14851" width="12" style="1" customWidth="1"/>
    <col min="14852" max="14852" width="11.85546875" style="1" customWidth="1"/>
    <col min="14853" max="14853" width="10.7109375" style="1" customWidth="1"/>
    <col min="14854" max="14854" width="10.5703125" style="1" customWidth="1"/>
    <col min="14855" max="14855" width="1.140625" style="1" customWidth="1"/>
    <col min="14856" max="14856" width="11.28515625" style="1" customWidth="1"/>
    <col min="14857" max="14857" width="12.7109375" style="1" customWidth="1"/>
    <col min="14858" max="14858" width="11.5703125" style="1" customWidth="1"/>
    <col min="14859" max="14859" width="12.42578125" style="1" customWidth="1"/>
    <col min="14860" max="14860" width="1.5703125" style="1" customWidth="1"/>
    <col min="14861" max="14861" width="11.42578125" style="1" customWidth="1"/>
    <col min="14862" max="14862" width="12.140625" style="1" customWidth="1"/>
    <col min="14863" max="14863" width="1.7109375" style="1" customWidth="1"/>
    <col min="14864" max="14864" width="13.5703125" style="1" customWidth="1"/>
    <col min="14865" max="15101" width="9.140625" style="1"/>
    <col min="15102" max="15102" width="9.28515625" style="1" customWidth="1"/>
    <col min="15103" max="15103" width="1.7109375" style="1" customWidth="1"/>
    <col min="15104" max="15107" width="12" style="1" customWidth="1"/>
    <col min="15108" max="15108" width="11.85546875" style="1" customWidth="1"/>
    <col min="15109" max="15109" width="10.7109375" style="1" customWidth="1"/>
    <col min="15110" max="15110" width="10.5703125" style="1" customWidth="1"/>
    <col min="15111" max="15111" width="1.140625" style="1" customWidth="1"/>
    <col min="15112" max="15112" width="11.28515625" style="1" customWidth="1"/>
    <col min="15113" max="15113" width="12.7109375" style="1" customWidth="1"/>
    <col min="15114" max="15114" width="11.5703125" style="1" customWidth="1"/>
    <col min="15115" max="15115" width="12.42578125" style="1" customWidth="1"/>
    <col min="15116" max="15116" width="1.5703125" style="1" customWidth="1"/>
    <col min="15117" max="15117" width="11.42578125" style="1" customWidth="1"/>
    <col min="15118" max="15118" width="12.140625" style="1" customWidth="1"/>
    <col min="15119" max="15119" width="1.7109375" style="1" customWidth="1"/>
    <col min="15120" max="15120" width="13.5703125" style="1" customWidth="1"/>
    <col min="15121" max="15357" width="9.140625" style="1"/>
    <col min="15358" max="15358" width="9.28515625" style="1" customWidth="1"/>
    <col min="15359" max="15359" width="1.7109375" style="1" customWidth="1"/>
    <col min="15360" max="15363" width="12" style="1" customWidth="1"/>
    <col min="15364" max="15364" width="11.85546875" style="1" customWidth="1"/>
    <col min="15365" max="15365" width="10.7109375" style="1" customWidth="1"/>
    <col min="15366" max="15366" width="10.5703125" style="1" customWidth="1"/>
    <col min="15367" max="15367" width="1.140625" style="1" customWidth="1"/>
    <col min="15368" max="15368" width="11.28515625" style="1" customWidth="1"/>
    <col min="15369" max="15369" width="12.7109375" style="1" customWidth="1"/>
    <col min="15370" max="15370" width="11.5703125" style="1" customWidth="1"/>
    <col min="15371" max="15371" width="12.42578125" style="1" customWidth="1"/>
    <col min="15372" max="15372" width="1.5703125" style="1" customWidth="1"/>
    <col min="15373" max="15373" width="11.42578125" style="1" customWidth="1"/>
    <col min="15374" max="15374" width="12.140625" style="1" customWidth="1"/>
    <col min="15375" max="15375" width="1.7109375" style="1" customWidth="1"/>
    <col min="15376" max="15376" width="13.5703125" style="1" customWidth="1"/>
    <col min="15377" max="15613" width="9.140625" style="1"/>
    <col min="15614" max="15614" width="9.28515625" style="1" customWidth="1"/>
    <col min="15615" max="15615" width="1.7109375" style="1" customWidth="1"/>
    <col min="15616" max="15619" width="12" style="1" customWidth="1"/>
    <col min="15620" max="15620" width="11.85546875" style="1" customWidth="1"/>
    <col min="15621" max="15621" width="10.7109375" style="1" customWidth="1"/>
    <col min="15622" max="15622" width="10.5703125" style="1" customWidth="1"/>
    <col min="15623" max="15623" width="1.140625" style="1" customWidth="1"/>
    <col min="15624" max="15624" width="11.28515625" style="1" customWidth="1"/>
    <col min="15625" max="15625" width="12.7109375" style="1" customWidth="1"/>
    <col min="15626" max="15626" width="11.5703125" style="1" customWidth="1"/>
    <col min="15627" max="15627" width="12.42578125" style="1" customWidth="1"/>
    <col min="15628" max="15628" width="1.5703125" style="1" customWidth="1"/>
    <col min="15629" max="15629" width="11.42578125" style="1" customWidth="1"/>
    <col min="15630" max="15630" width="12.140625" style="1" customWidth="1"/>
    <col min="15631" max="15631" width="1.7109375" style="1" customWidth="1"/>
    <col min="15632" max="15632" width="13.5703125" style="1" customWidth="1"/>
    <col min="15633" max="15869" width="9.140625" style="1"/>
    <col min="15870" max="15870" width="9.28515625" style="1" customWidth="1"/>
    <col min="15871" max="15871" width="1.7109375" style="1" customWidth="1"/>
    <col min="15872" max="15875" width="12" style="1" customWidth="1"/>
    <col min="15876" max="15876" width="11.85546875" style="1" customWidth="1"/>
    <col min="15877" max="15877" width="10.7109375" style="1" customWidth="1"/>
    <col min="15878" max="15878" width="10.5703125" style="1" customWidth="1"/>
    <col min="15879" max="15879" width="1.140625" style="1" customWidth="1"/>
    <col min="15880" max="15880" width="11.28515625" style="1" customWidth="1"/>
    <col min="15881" max="15881" width="12.7109375" style="1" customWidth="1"/>
    <col min="15882" max="15882" width="11.5703125" style="1" customWidth="1"/>
    <col min="15883" max="15883" width="12.42578125" style="1" customWidth="1"/>
    <col min="15884" max="15884" width="1.5703125" style="1" customWidth="1"/>
    <col min="15885" max="15885" width="11.42578125" style="1" customWidth="1"/>
    <col min="15886" max="15886" width="12.140625" style="1" customWidth="1"/>
    <col min="15887" max="15887" width="1.7109375" style="1" customWidth="1"/>
    <col min="15888" max="15888" width="13.5703125" style="1" customWidth="1"/>
    <col min="15889" max="16125" width="9.140625" style="1"/>
    <col min="16126" max="16126" width="9.28515625" style="1" customWidth="1"/>
    <col min="16127" max="16127" width="1.7109375" style="1" customWidth="1"/>
    <col min="16128" max="16131" width="12" style="1" customWidth="1"/>
    <col min="16132" max="16132" width="11.85546875" style="1" customWidth="1"/>
    <col min="16133" max="16133" width="10.7109375" style="1" customWidth="1"/>
    <col min="16134" max="16134" width="10.5703125" style="1" customWidth="1"/>
    <col min="16135" max="16135" width="1.140625" style="1" customWidth="1"/>
    <col min="16136" max="16136" width="11.28515625" style="1" customWidth="1"/>
    <col min="16137" max="16137" width="12.7109375" style="1" customWidth="1"/>
    <col min="16138" max="16138" width="11.5703125" style="1" customWidth="1"/>
    <col min="16139" max="16139" width="12.42578125" style="1" customWidth="1"/>
    <col min="16140" max="16140" width="1.5703125" style="1" customWidth="1"/>
    <col min="16141" max="16141" width="11.42578125" style="1" customWidth="1"/>
    <col min="16142" max="16142" width="12.140625" style="1" customWidth="1"/>
    <col min="16143" max="16143" width="1.7109375" style="1" customWidth="1"/>
    <col min="16144" max="16144" width="13.5703125" style="1" customWidth="1"/>
    <col min="16145" max="16384" width="9.140625" style="1"/>
  </cols>
  <sheetData>
    <row r="1" spans="1:23" customFormat="1" ht="18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customFormat="1" ht="15.75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</row>
    <row r="3" spans="1:23" s="2" customFormat="1" ht="15.75" x14ac:dyDescent="0.25">
      <c r="A3" s="64" t="s">
        <v>48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</row>
    <row r="4" spans="1:23" s="2" customFormat="1" ht="14.25" customHeight="1" x14ac:dyDescent="0.25">
      <c r="A4" s="65" t="s">
        <v>49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</row>
    <row r="5" spans="1:23" s="2" customFormat="1" ht="15.75" x14ac:dyDescent="0.25">
      <c r="A5" s="66" t="s">
        <v>39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 spans="1:23" s="2" customFormat="1" x14ac:dyDescent="0.25">
      <c r="A6" s="62" t="s">
        <v>40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</row>
    <row r="7" spans="1:23" s="2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3" s="2" customFormat="1" x14ac:dyDescent="0.25">
      <c r="A8" s="4"/>
      <c r="B8" s="4"/>
      <c r="C8" s="5"/>
      <c r="D8" s="5"/>
      <c r="E8" s="5"/>
      <c r="F8" s="5"/>
      <c r="G8" s="5"/>
      <c r="H8" s="6"/>
      <c r="I8" s="7"/>
      <c r="J8" s="6"/>
      <c r="K8" s="6"/>
      <c r="L8" s="6"/>
      <c r="M8" s="6"/>
      <c r="N8" s="6"/>
      <c r="O8" s="6"/>
      <c r="P8" s="6"/>
      <c r="Q8" s="6"/>
      <c r="R8" s="6"/>
    </row>
    <row r="9" spans="1:23" s="8" customFormat="1" ht="14.25" customHeight="1" x14ac:dyDescent="0.25">
      <c r="A9" s="67" t="s">
        <v>59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</row>
    <row r="10" spans="1:23" s="2" customFormat="1" ht="9" customHeight="1" x14ac:dyDescent="0.25">
      <c r="A10" s="4"/>
      <c r="B10" s="4"/>
      <c r="C10" s="5"/>
      <c r="D10" s="5"/>
      <c r="E10" s="5"/>
      <c r="F10" s="5"/>
      <c r="G10" s="5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</row>
    <row r="11" spans="1:23" s="13" customFormat="1" ht="25.5" customHeight="1" x14ac:dyDescent="0.2">
      <c r="A11" s="9"/>
      <c r="B11" s="9"/>
      <c r="C11" s="71" t="s">
        <v>0</v>
      </c>
      <c r="D11" s="72"/>
      <c r="E11" s="72"/>
      <c r="F11" s="72"/>
      <c r="G11" s="72"/>
      <c r="H11" s="72"/>
      <c r="I11" s="72"/>
      <c r="J11" s="10"/>
      <c r="K11" s="11"/>
      <c r="L11" s="71" t="s">
        <v>1</v>
      </c>
      <c r="M11" s="72"/>
      <c r="N11" s="72"/>
      <c r="O11" s="73"/>
      <c r="P11" s="12"/>
      <c r="Q11" s="71" t="s">
        <v>2</v>
      </c>
      <c r="R11" s="73"/>
      <c r="U11" s="76" t="s">
        <v>50</v>
      </c>
      <c r="V11" s="77"/>
      <c r="W11" s="78"/>
    </row>
    <row r="12" spans="1:23" s="18" customFormat="1" ht="12" x14ac:dyDescent="0.2">
      <c r="A12" s="14"/>
      <c r="B12" s="14"/>
      <c r="C12" s="15"/>
      <c r="D12" s="16" t="s">
        <v>3</v>
      </c>
      <c r="E12" s="15"/>
      <c r="F12" s="16" t="s">
        <v>4</v>
      </c>
      <c r="G12" s="15"/>
      <c r="H12" s="17" t="s">
        <v>5</v>
      </c>
      <c r="I12" s="15"/>
      <c r="J12" s="15"/>
      <c r="K12" s="15"/>
      <c r="L12" s="16" t="s">
        <v>42</v>
      </c>
      <c r="M12" s="16"/>
      <c r="N12" s="16" t="s">
        <v>3</v>
      </c>
      <c r="O12" s="16" t="s">
        <v>4</v>
      </c>
      <c r="Q12" s="21" t="s">
        <v>5</v>
      </c>
      <c r="R12" s="16" t="s">
        <v>4</v>
      </c>
      <c r="U12" s="16" t="s">
        <v>4</v>
      </c>
      <c r="V12" s="36"/>
      <c r="W12" s="36"/>
    </row>
    <row r="13" spans="1:23" s="21" customFormat="1" ht="12" x14ac:dyDescent="0.2">
      <c r="A13" s="19"/>
      <c r="B13" s="19"/>
      <c r="C13" s="16" t="s">
        <v>6</v>
      </c>
      <c r="D13" s="20" t="s">
        <v>7</v>
      </c>
      <c r="E13" s="16" t="s">
        <v>6</v>
      </c>
      <c r="F13" s="16" t="s">
        <v>8</v>
      </c>
      <c r="G13" s="16"/>
      <c r="H13" s="17" t="s">
        <v>9</v>
      </c>
      <c r="I13" s="16" t="s">
        <v>10</v>
      </c>
      <c r="J13" s="16"/>
      <c r="K13" s="16"/>
      <c r="L13" s="21" t="s">
        <v>43</v>
      </c>
      <c r="M13" s="16" t="s">
        <v>11</v>
      </c>
      <c r="N13" s="16" t="s">
        <v>11</v>
      </c>
      <c r="O13" s="16" t="s">
        <v>11</v>
      </c>
      <c r="Q13" s="21" t="s">
        <v>41</v>
      </c>
      <c r="R13" s="16" t="s">
        <v>12</v>
      </c>
      <c r="U13" s="16" t="s">
        <v>4</v>
      </c>
      <c r="V13" s="16"/>
      <c r="W13" s="36" t="s">
        <v>4</v>
      </c>
    </row>
    <row r="14" spans="1:23" s="21" customFormat="1" ht="12" x14ac:dyDescent="0.2">
      <c r="A14" s="22" t="s">
        <v>13</v>
      </c>
      <c r="B14" s="22"/>
      <c r="C14" s="23" t="s">
        <v>14</v>
      </c>
      <c r="D14" s="23" t="s">
        <v>6</v>
      </c>
      <c r="E14" s="23" t="s">
        <v>15</v>
      </c>
      <c r="F14" s="23" t="s">
        <v>16</v>
      </c>
      <c r="G14" s="23"/>
      <c r="H14" s="24" t="s">
        <v>17</v>
      </c>
      <c r="I14" s="23" t="s">
        <v>18</v>
      </c>
      <c r="J14" s="20"/>
      <c r="K14" s="20"/>
      <c r="L14" s="23" t="s">
        <v>19</v>
      </c>
      <c r="M14" s="23" t="s">
        <v>20</v>
      </c>
      <c r="N14" s="23" t="s">
        <v>6</v>
      </c>
      <c r="O14" s="23" t="s">
        <v>16</v>
      </c>
      <c r="P14" s="25"/>
      <c r="Q14" s="23" t="s">
        <v>19</v>
      </c>
      <c r="R14" s="23" t="s">
        <v>16</v>
      </c>
      <c r="U14" s="23" t="s">
        <v>21</v>
      </c>
      <c r="V14" s="23" t="s">
        <v>60</v>
      </c>
      <c r="W14" s="37" t="s">
        <v>28</v>
      </c>
    </row>
    <row r="15" spans="1:23" x14ac:dyDescent="0.25">
      <c r="A15" s="4">
        <v>42461</v>
      </c>
      <c r="C15" s="46"/>
      <c r="D15" s="46"/>
      <c r="E15" s="46"/>
      <c r="F15" s="46"/>
      <c r="G15" s="46"/>
      <c r="H15" s="49"/>
      <c r="I15" s="46"/>
      <c r="J15" s="48"/>
      <c r="K15" s="48"/>
      <c r="L15" s="49"/>
      <c r="M15" s="53"/>
      <c r="N15" s="53"/>
      <c r="O15" s="53"/>
      <c r="P15" s="49"/>
      <c r="Q15" s="49"/>
      <c r="R15" s="53"/>
      <c r="S15" s="49"/>
      <c r="T15"/>
      <c r="U15" s="46"/>
      <c r="V15" s="30"/>
      <c r="W15" s="30"/>
    </row>
    <row r="16" spans="1:23" x14ac:dyDescent="0.25">
      <c r="A16" s="4">
        <f>+A15+31</f>
        <v>42492</v>
      </c>
      <c r="C16" s="46"/>
      <c r="D16" s="46"/>
      <c r="E16" s="46"/>
      <c r="F16" s="46"/>
      <c r="G16" s="46"/>
      <c r="H16" s="49"/>
      <c r="I16" s="46"/>
      <c r="J16" s="48"/>
      <c r="K16" s="48"/>
      <c r="L16" s="49"/>
      <c r="M16" s="53"/>
      <c r="N16" s="53"/>
      <c r="O16" s="53"/>
      <c r="P16" s="49"/>
      <c r="Q16" s="49"/>
      <c r="R16" s="53"/>
      <c r="S16" s="49"/>
      <c r="T16"/>
      <c r="U16" s="46"/>
      <c r="V16" s="30"/>
      <c r="W16" s="30"/>
    </row>
    <row r="17" spans="1:23" x14ac:dyDescent="0.25">
      <c r="A17" s="4">
        <f t="shared" ref="A17:A26" si="0">+A16+31</f>
        <v>42523</v>
      </c>
      <c r="C17" s="46"/>
      <c r="D17" s="46"/>
      <c r="E17" s="46"/>
      <c r="F17" s="46"/>
      <c r="G17" s="46"/>
      <c r="H17" s="49"/>
      <c r="I17" s="46"/>
      <c r="J17" s="48"/>
      <c r="K17" s="48"/>
      <c r="L17" s="49"/>
      <c r="M17" s="53"/>
      <c r="N17" s="53"/>
      <c r="O17" s="53"/>
      <c r="P17" s="49"/>
      <c r="Q17" s="49"/>
      <c r="R17" s="53"/>
      <c r="S17" s="49"/>
      <c r="T17"/>
      <c r="U17" s="46"/>
      <c r="V17" s="30"/>
      <c r="W17" s="30"/>
    </row>
    <row r="18" spans="1:23" x14ac:dyDescent="0.25">
      <c r="A18" s="4">
        <f t="shared" si="0"/>
        <v>42554</v>
      </c>
      <c r="C18" s="46"/>
      <c r="D18" s="46"/>
      <c r="E18" s="46"/>
      <c r="F18" s="46"/>
      <c r="G18" s="46"/>
      <c r="H18" s="49"/>
      <c r="I18" s="46"/>
      <c r="J18" s="48"/>
      <c r="K18" s="48"/>
      <c r="L18" s="49"/>
      <c r="M18" s="53"/>
      <c r="N18" s="53"/>
      <c r="O18" s="53"/>
      <c r="P18" s="49"/>
      <c r="Q18" s="49"/>
      <c r="R18" s="53"/>
      <c r="S18" s="49"/>
      <c r="T18"/>
      <c r="U18" s="46"/>
      <c r="V18" s="30"/>
      <c r="W18" s="30"/>
    </row>
    <row r="19" spans="1:23" x14ac:dyDescent="0.25">
      <c r="A19" s="4">
        <f t="shared" si="0"/>
        <v>42585</v>
      </c>
      <c r="C19" s="46"/>
      <c r="D19" s="46"/>
      <c r="E19" s="46"/>
      <c r="F19" s="46"/>
      <c r="G19" s="46"/>
      <c r="H19" s="49"/>
      <c r="I19" s="46"/>
      <c r="J19" s="48"/>
      <c r="K19" s="48"/>
      <c r="L19" s="49"/>
      <c r="M19" s="53"/>
      <c r="N19" s="53"/>
      <c r="O19" s="53"/>
      <c r="P19" s="49"/>
      <c r="Q19" s="49"/>
      <c r="R19" s="53"/>
      <c r="S19" s="49"/>
      <c r="T19"/>
      <c r="U19" s="46"/>
      <c r="V19" s="30"/>
      <c r="W19" s="30"/>
    </row>
    <row r="20" spans="1:23" x14ac:dyDescent="0.25">
      <c r="A20" s="4">
        <f t="shared" si="0"/>
        <v>42616</v>
      </c>
      <c r="C20" s="46"/>
      <c r="D20" s="46"/>
      <c r="E20" s="46"/>
      <c r="F20" s="46"/>
      <c r="G20" s="46"/>
      <c r="H20" s="49"/>
      <c r="I20" s="46"/>
      <c r="J20" s="48"/>
      <c r="K20" s="48"/>
      <c r="L20" s="49"/>
      <c r="M20" s="53"/>
      <c r="N20" s="53"/>
      <c r="O20" s="53"/>
      <c r="P20" s="49"/>
      <c r="Q20" s="57"/>
      <c r="R20" s="58"/>
      <c r="S20" s="49"/>
      <c r="T20"/>
      <c r="U20" s="46"/>
      <c r="V20" s="30"/>
      <c r="W20" s="30"/>
    </row>
    <row r="21" spans="1:23" x14ac:dyDescent="0.25">
      <c r="A21" s="4">
        <f t="shared" si="0"/>
        <v>42647</v>
      </c>
      <c r="C21" s="46"/>
      <c r="D21" s="46"/>
      <c r="E21" s="46"/>
      <c r="F21" s="46"/>
      <c r="G21" s="46"/>
      <c r="H21" s="49"/>
      <c r="I21" s="46"/>
      <c r="J21" s="48"/>
      <c r="K21" s="48"/>
      <c r="L21" s="49"/>
      <c r="M21" s="53"/>
      <c r="N21" s="53"/>
      <c r="O21" s="53"/>
      <c r="P21" s="49"/>
      <c r="Q21" s="57"/>
      <c r="R21" s="58"/>
      <c r="S21" s="49"/>
      <c r="T21"/>
      <c r="U21" s="46"/>
      <c r="V21" s="30"/>
      <c r="W21" s="30"/>
    </row>
    <row r="22" spans="1:23" x14ac:dyDescent="0.25">
      <c r="A22" s="4">
        <f t="shared" si="0"/>
        <v>42678</v>
      </c>
      <c r="C22" s="46"/>
      <c r="D22" s="46"/>
      <c r="E22" s="46"/>
      <c r="F22" s="46"/>
      <c r="G22" s="46"/>
      <c r="H22" s="49"/>
      <c r="I22" s="46"/>
      <c r="J22" s="48"/>
      <c r="K22" s="48"/>
      <c r="L22" s="49"/>
      <c r="M22" s="53"/>
      <c r="N22" s="53"/>
      <c r="O22" s="53"/>
      <c r="P22" s="49"/>
      <c r="Q22" s="57"/>
      <c r="R22" s="58"/>
      <c r="S22" s="49"/>
      <c r="T22"/>
      <c r="U22" s="46"/>
      <c r="V22" s="30"/>
      <c r="W22" s="30"/>
    </row>
    <row r="23" spans="1:23" x14ac:dyDescent="0.25">
      <c r="A23" s="4">
        <f t="shared" si="0"/>
        <v>42709</v>
      </c>
      <c r="C23" s="46">
        <f>+'[1]16-17 Tioga Monthly'!C22</f>
        <v>56269364.82</v>
      </c>
      <c r="D23" s="46">
        <f>+'[1]16-17 Tioga Monthly'!D22</f>
        <v>668838.70000000007</v>
      </c>
      <c r="E23" s="46">
        <f>+'[1]16-17 Tioga Monthly'!E22</f>
        <v>51238185.889999993</v>
      </c>
      <c r="F23" s="46">
        <f>+'[1]16-17 Tioga Monthly'!G22</f>
        <v>4362340.2300000004</v>
      </c>
      <c r="G23" s="46"/>
      <c r="H23" s="49">
        <f>+'[1]16-17 Tioga Monthly'!H22</f>
        <v>471.64516129032256</v>
      </c>
      <c r="I23" s="46">
        <f>+F23/H23/31</f>
        <v>298.36127693044256</v>
      </c>
      <c r="J23" s="48"/>
      <c r="K23" s="48"/>
      <c r="L23" s="49">
        <f>+'[1]16-17 Tioga Monthly'!K22</f>
        <v>23</v>
      </c>
      <c r="M23" s="53">
        <f>+'[1]16-17 Tioga Monthly'!L22</f>
        <v>4253907</v>
      </c>
      <c r="N23" s="53">
        <f>+'[1]16-17 Tioga Monthly'!M22</f>
        <v>0</v>
      </c>
      <c r="O23" s="53">
        <f>+'[1]16-17 Tioga Monthly'!N22</f>
        <v>643441.25</v>
      </c>
      <c r="P23" s="49"/>
      <c r="Q23" s="57">
        <f>+'[1]16-17 Tioga Monthly'!P22</f>
        <v>12</v>
      </c>
      <c r="R23" s="58">
        <f>+'[1]16-17 Tioga Monthly'!Q22</f>
        <v>125724</v>
      </c>
      <c r="S23" s="49"/>
      <c r="T23"/>
      <c r="U23" s="46">
        <f>+'[1]16-17 Tioga Monthly'!S22</f>
        <v>5131505.4800000004</v>
      </c>
      <c r="V23" s="30">
        <f>+'[1]16-17 Tioga Monthly'!D44</f>
        <v>3440523.0699000005</v>
      </c>
      <c r="W23" s="30">
        <f>+'[1]16-17 Tioga Monthly'!E44</f>
        <v>1690982.4101</v>
      </c>
    </row>
    <row r="24" spans="1:23" x14ac:dyDescent="0.25">
      <c r="A24" s="4">
        <f t="shared" si="0"/>
        <v>42740</v>
      </c>
      <c r="C24" s="46">
        <f>+'[4]del Lago Monthly FY 16-17'!C23+'[1]16-17 Tioga Monthly'!C23</f>
        <v>66732082.539999977</v>
      </c>
      <c r="D24" s="46">
        <f>+'[4]del Lago Monthly FY 16-17'!D23+'[1]16-17 Tioga Monthly'!D23</f>
        <v>825007.08000000007</v>
      </c>
      <c r="E24" s="46">
        <f>+'[4]del Lago Monthly FY 16-17'!E23+'[1]16-17 Tioga Monthly'!E23</f>
        <v>61012016.399999999</v>
      </c>
      <c r="F24" s="46">
        <f>+'[4]del Lago Monthly FY 16-17'!G23+'[1]16-17 Tioga Monthly'!G23</f>
        <v>4895059.0599999996</v>
      </c>
      <c r="G24" s="46"/>
      <c r="H24" s="61">
        <f>+'[4]del Lago Monthly FY 16-17'!H23+'[1]16-17 Tioga Monthly'!H23</f>
        <v>2658.6451612903224</v>
      </c>
      <c r="I24" s="46">
        <f>+F24/H24/31</f>
        <v>59.393082336382825</v>
      </c>
      <c r="J24" s="48"/>
      <c r="K24" s="48"/>
      <c r="L24" s="49">
        <f>+'[4]del Lago Monthly FY 16-17'!K23+'[1]16-17 Tioga Monthly'!K23</f>
        <v>100</v>
      </c>
      <c r="M24" s="53">
        <f>+'[4]del Lago Monthly FY 16-17'!L23+'[1]16-17 Tioga Monthly'!L23</f>
        <v>3858937</v>
      </c>
      <c r="N24" s="53">
        <f>+'[4]del Lago Monthly FY 16-17'!M23+'[1]16-17 Tioga Monthly'!M23</f>
        <v>0</v>
      </c>
      <c r="O24" s="53">
        <f>+'[4]del Lago Monthly FY 16-17'!N23+'[1]16-17 Tioga Monthly'!N23</f>
        <v>817532.25</v>
      </c>
      <c r="P24" s="49"/>
      <c r="Q24" s="57">
        <f>+'[4]del Lago Monthly FY 16-17'!P23+'[1]16-17 Tioga Monthly'!P23</f>
        <v>24</v>
      </c>
      <c r="R24" s="58">
        <f>+'[4]del Lago Monthly FY 16-17'!Q23+'[1]16-17 Tioga Monthly'!Q23</f>
        <v>117569</v>
      </c>
      <c r="S24" s="49"/>
      <c r="T24"/>
      <c r="U24" s="46">
        <f>+'[4]del Lago Monthly FY 16-17'!S23+'[1]16-17 Tioga Monthly'!S23</f>
        <v>5830160.3099999996</v>
      </c>
      <c r="V24" s="30">
        <f>+'[4]del Lago Monthly FY 16-17'!D45+'[1]16-17 Tioga Monthly'!D45</f>
        <v>3925478.3328</v>
      </c>
      <c r="W24" s="30">
        <f>+'[4]del Lago Monthly FY 16-17'!E45+'[1]16-17 Tioga Monthly'!E45</f>
        <v>1904681.9771999998</v>
      </c>
    </row>
    <row r="25" spans="1:23" x14ac:dyDescent="0.25">
      <c r="A25" s="4">
        <f t="shared" si="0"/>
        <v>42771</v>
      </c>
      <c r="C25" s="46">
        <f>+'[4]del Lago Monthly FY 16-17'!C24+'[1]16-17 Tioga Monthly'!C24+'[2]16-17 Rivers Monthly'!C24</f>
        <v>272750010.56999999</v>
      </c>
      <c r="D25" s="46">
        <f>+'[4]del Lago Monthly FY 16-17'!D24+'[1]16-17 Tioga Monthly'!D24+'[2]16-17 Rivers Monthly'!D24</f>
        <v>1481281.7199999997</v>
      </c>
      <c r="E25" s="46">
        <f>+'[4]del Lago Monthly FY 16-17'!E24+'[1]16-17 Tioga Monthly'!E24+'[2]16-17 Rivers Monthly'!E24</f>
        <v>247422926.94</v>
      </c>
      <c r="F25" s="46">
        <f>+'[4]del Lago Monthly FY 16-17'!G24+'[1]16-17 Tioga Monthly'!G24+'[2]16-17 Rivers Monthly'!G24</f>
        <v>23845801.91</v>
      </c>
      <c r="G25" s="46"/>
      <c r="H25" s="49">
        <f>+'[4]del Lago Monthly FY 16-17'!H24+'[1]16-17 Tioga Monthly'!H24+'[2]16-17 Rivers Monthly'!H24</f>
        <v>4044.6785714285716</v>
      </c>
      <c r="I25" s="46">
        <f>+F25/H25/28</f>
        <v>210.55709803886938</v>
      </c>
      <c r="J25" s="48"/>
      <c r="K25" s="48"/>
      <c r="L25" s="49">
        <f>+'[4]del Lago Monthly FY 16-17'!K24+'[1]16-17 Tioga Monthly'!K24+'[2]16-17 Rivers Monthly'!K24</f>
        <v>167</v>
      </c>
      <c r="M25" s="53">
        <f>+'[4]del Lago Monthly FY 16-17'!L24+'[1]16-17 Tioga Monthly'!L24+'[2]16-17 Rivers Monthly'!L24</f>
        <v>39181192.810000002</v>
      </c>
      <c r="N25" s="53">
        <f>+'[4]del Lago Monthly FY 16-17'!M24+'[1]16-17 Tioga Monthly'!M24+'[2]16-17 Rivers Monthly'!M24</f>
        <v>0</v>
      </c>
      <c r="O25" s="53">
        <f>+'[4]del Lago Monthly FY 16-17'!N24+'[1]16-17 Tioga Monthly'!N24+'[2]16-17 Rivers Monthly'!N24</f>
        <v>5855724.6900000004</v>
      </c>
      <c r="P25" s="49"/>
      <c r="Q25" s="57">
        <f>+'[4]del Lago Monthly FY 16-17'!P24+'[1]16-17 Tioga Monthly'!P24+'[2]16-17 Rivers Monthly'!P24</f>
        <v>39</v>
      </c>
      <c r="R25" s="58">
        <f>+'[4]del Lago Monthly FY 16-17'!Q24+'[1]16-17 Tioga Monthly'!Q24+'[2]16-17 Rivers Monthly'!Q24</f>
        <v>858913</v>
      </c>
      <c r="S25" s="49"/>
      <c r="T25"/>
      <c r="U25" s="46">
        <f>+'[4]del Lago Monthly FY 16-17'!S24+'[1]16-17 Tioga Monthly'!S24+'[2]16-17 Rivers Monthly'!S24</f>
        <v>30560439.600000001</v>
      </c>
      <c r="V25" s="30">
        <f>+'[1]16-17 Tioga Monthly'!D46+'[2]16-17 Rivers Monthly'!D46+'[4]del Lago Monthly FY 16-17'!D46</f>
        <v>20413730.069100004</v>
      </c>
      <c r="W25" s="30">
        <f>+'[1]16-17 Tioga Monthly'!E46+'[2]16-17 Rivers Monthly'!E46+'[4]del Lago Monthly FY 16-17'!E46</f>
        <v>10146709.530900002</v>
      </c>
    </row>
    <row r="26" spans="1:23" x14ac:dyDescent="0.25">
      <c r="A26" s="4">
        <f t="shared" si="0"/>
        <v>42802</v>
      </c>
      <c r="C26" s="46">
        <f>+'[4]del Lago Monthly FY 16-17'!C25+'[1]16-17 Tioga Monthly'!C25+'[2]16-17 Rivers Monthly'!C25</f>
        <v>266585128.79000002</v>
      </c>
      <c r="D26" s="46">
        <f>+'[4]del Lago Monthly FY 16-17'!D25+'[1]16-17 Tioga Monthly'!D25+'[2]16-17 Rivers Monthly'!D25</f>
        <v>2804755.64</v>
      </c>
      <c r="E26" s="46">
        <f>+'[4]del Lago Monthly FY 16-17'!E25+'[1]16-17 Tioga Monthly'!E25+'[2]16-17 Rivers Monthly'!E25</f>
        <v>242231531.48999998</v>
      </c>
      <c r="F26" s="46">
        <f>+'[4]del Lago Monthly FY 16-17'!G25+'[1]16-17 Tioga Monthly'!G25+'[2]16-17 Rivers Monthly'!G25</f>
        <v>21548841.660000004</v>
      </c>
      <c r="G26" s="46"/>
      <c r="H26" s="49">
        <f>+'[4]del Lago Monthly FY 16-17'!H25+'[1]16-17 Tioga Monthly'!H25+'[2]16-17 Rivers Monthly'!H25</f>
        <v>4093.2580645161288</v>
      </c>
      <c r="I26" s="46">
        <f>+F26/H26/31</f>
        <v>169.82167104049938</v>
      </c>
      <c r="J26" s="48"/>
      <c r="K26" s="48"/>
      <c r="L26" s="49">
        <f>+'[4]del Lago Monthly FY 16-17'!K25+'[1]16-17 Tioga Monthly'!K25+'[2]16-17 Rivers Monthly'!K25</f>
        <v>167</v>
      </c>
      <c r="M26" s="53">
        <f>+'[4]del Lago Monthly FY 16-17'!L25+'[1]16-17 Tioga Monthly'!L25+'[2]16-17 Rivers Monthly'!L25</f>
        <v>47513425.93</v>
      </c>
      <c r="N26" s="53">
        <f>+'[4]del Lago Monthly FY 16-17'!M25+'[1]16-17 Tioga Monthly'!M25+'[2]16-17 Rivers Monthly'!M25</f>
        <v>25620</v>
      </c>
      <c r="O26" s="53">
        <f>+'[4]del Lago Monthly FY 16-17'!N25+'[1]16-17 Tioga Monthly'!N25+'[2]16-17 Rivers Monthly'!N25</f>
        <v>9654235.1699999999</v>
      </c>
      <c r="P26" s="49"/>
      <c r="Q26" s="57">
        <f>+'[4]del Lago Monthly FY 16-17'!P25+'[1]16-17 Tioga Monthly'!P25+'[2]16-17 Rivers Monthly'!P25</f>
        <v>39</v>
      </c>
      <c r="R26" s="58">
        <f>+'[4]del Lago Monthly FY 16-17'!Q25+'[1]16-17 Tioga Monthly'!Q25+'[2]16-17 Rivers Monthly'!Q25</f>
        <v>1005603</v>
      </c>
      <c r="S26" s="49"/>
      <c r="T26"/>
      <c r="U26" s="46">
        <f>+'[4]del Lago Monthly FY 16-17'!S25+'[1]16-17 Tioga Monthly'!S25+'[2]16-17 Rivers Monthly'!S25</f>
        <v>32208679.830000002</v>
      </c>
      <c r="V26" s="30">
        <f>+'[1]16-17 Tioga Monthly'!D47+'[2]16-17 Rivers Monthly'!D47+'[4]del Lago Monthly FY 16-17'!D47</f>
        <v>22525670.041200005</v>
      </c>
      <c r="W26" s="30">
        <f>+'[1]16-17 Tioga Monthly'!E47+'[2]16-17 Rivers Monthly'!E47+'[4]del Lago Monthly FY 16-17'!E47</f>
        <v>9683009.7888000011</v>
      </c>
    </row>
    <row r="27" spans="1:23" ht="15.75" thickBot="1" x14ac:dyDescent="0.3">
      <c r="A27" s="4" t="s">
        <v>22</v>
      </c>
      <c r="C27" s="50">
        <f>SUM(C15:C26)</f>
        <v>662336586.72000003</v>
      </c>
      <c r="D27" s="50">
        <f t="shared" ref="D27:E27" si="1">SUM(D15:D26)</f>
        <v>5779883.1400000006</v>
      </c>
      <c r="E27" s="50">
        <f t="shared" si="1"/>
        <v>601904660.72000003</v>
      </c>
      <c r="F27" s="50">
        <f>SUM(F15:F26)</f>
        <v>54652042.859999999</v>
      </c>
      <c r="G27" s="50"/>
      <c r="H27" s="51">
        <f>+'[4]del Lago Monthly FY 16-17'!H26+'[1]16-17 Tioga Monthly'!H26+'[2]16-17 Rivers Monthly'!H26</f>
        <v>3889</v>
      </c>
      <c r="I27" s="52">
        <f>+F27/H27/121</f>
        <v>116.14033831382856</v>
      </c>
      <c r="J27" s="48"/>
      <c r="K27" s="46"/>
      <c r="L27" s="51">
        <f>+'[4]del Lago Monthly FY 16-17'!K26+'[1]16-17 Tioga Monthly'!K26+'[2]16-17 Rivers Monthly'!K26</f>
        <v>167</v>
      </c>
      <c r="M27" s="50">
        <f>SUM(M15:M26)</f>
        <v>94807462.74000001</v>
      </c>
      <c r="N27" s="50">
        <f t="shared" ref="N27:O27" si="2">SUM(N15:N26)</f>
        <v>25620</v>
      </c>
      <c r="O27" s="50">
        <f t="shared" si="2"/>
        <v>16970933.359999999</v>
      </c>
      <c r="P27" s="46"/>
      <c r="Q27" s="51">
        <f>+'[4]del Lago Monthly FY 16-17'!P26+'[1]16-17 Tioga Monthly'!P26+'[2]16-17 Rivers Monthly'!P26</f>
        <v>39</v>
      </c>
      <c r="R27" s="50">
        <f>SUM(R15:R26)</f>
        <v>2107809</v>
      </c>
      <c r="S27" s="46"/>
      <c r="T27" s="46"/>
      <c r="U27" s="50">
        <f>SUM(U15:U26)</f>
        <v>73730785.219999999</v>
      </c>
      <c r="V27" s="29">
        <f>SUM(V15:V26)</f>
        <v>50305401.513000011</v>
      </c>
      <c r="W27" s="29">
        <f>SUM(W15:W26)</f>
        <v>23425383.707000002</v>
      </c>
    </row>
    <row r="28" spans="1:23" ht="10.5" customHeight="1" thickTop="1" x14ac:dyDescent="0.25">
      <c r="C28" s="30"/>
      <c r="D28" s="30"/>
      <c r="E28" s="30"/>
      <c r="F28" s="30"/>
      <c r="G28" s="30"/>
      <c r="H28" s="30"/>
      <c r="J28" s="26"/>
      <c r="L28" s="31"/>
      <c r="M28" s="30"/>
      <c r="N28" s="30"/>
      <c r="O28" s="30"/>
      <c r="P28" s="30"/>
      <c r="Q28" s="31"/>
      <c r="R28" s="30"/>
      <c r="V28" s="30"/>
      <c r="W28" s="33"/>
    </row>
    <row r="29" spans="1:23" s="35" customFormat="1" x14ac:dyDescent="0.25">
      <c r="A29" s="32"/>
      <c r="B29" s="32"/>
      <c r="C29" s="33"/>
      <c r="D29" s="34">
        <f>D27/C27</f>
        <v>8.7265044025771465E-3</v>
      </c>
      <c r="E29" s="34">
        <f>E27/C27</f>
        <v>0.90875949296524772</v>
      </c>
      <c r="F29" s="34">
        <f>F27/C27</f>
        <v>8.2514002632175162E-2</v>
      </c>
      <c r="G29" s="34"/>
      <c r="H29" s="33"/>
      <c r="L29" s="33"/>
      <c r="M29" s="33"/>
      <c r="N29" s="33"/>
      <c r="O29" s="33">
        <f>O27/$M$27</f>
        <v>0.17900419301949982</v>
      </c>
      <c r="P29" s="33"/>
      <c r="Q29" s="33"/>
      <c r="R29" s="33"/>
      <c r="V29" s="33">
        <f>V27/$U$27</f>
        <v>0.68228490125118479</v>
      </c>
      <c r="W29" s="33">
        <f>W27/$U$27</f>
        <v>0.31771509874881543</v>
      </c>
    </row>
    <row r="30" spans="1:23" s="35" customFormat="1" x14ac:dyDescent="0.25">
      <c r="A30" s="32"/>
      <c r="B30" s="32"/>
      <c r="C30" s="33"/>
      <c r="D30" s="33"/>
      <c r="E30" s="33"/>
      <c r="F30" s="33"/>
      <c r="G30" s="33"/>
      <c r="H30" s="33"/>
      <c r="L30" s="33"/>
      <c r="M30" s="33"/>
      <c r="N30" s="33"/>
      <c r="O30" s="33"/>
      <c r="P30" s="33"/>
      <c r="Q30" s="33"/>
      <c r="R30" s="33"/>
    </row>
    <row r="31" spans="1:23" s="35" customForma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</row>
    <row r="32" spans="1:23" s="35" customFormat="1" x14ac:dyDescent="0.25">
      <c r="A32" s="32"/>
      <c r="B32" s="32"/>
      <c r="C32" s="33"/>
      <c r="D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23" s="35" customFormat="1" x14ac:dyDescent="0.25">
      <c r="A33" s="38" t="s">
        <v>31</v>
      </c>
      <c r="B33" s="32"/>
      <c r="C33" s="33"/>
      <c r="D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23" s="35" customFormat="1" x14ac:dyDescent="0.25">
      <c r="A34" s="38"/>
      <c r="B34" s="32"/>
      <c r="C34" s="33"/>
      <c r="D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23" s="35" customFormat="1" ht="26.25" customHeight="1" x14ac:dyDescent="0.25">
      <c r="A35" s="69" t="s">
        <v>62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</row>
    <row r="36" spans="1:23" s="35" customFormat="1" x14ac:dyDescent="0.25">
      <c r="A36" s="38"/>
      <c r="B36" s="32"/>
      <c r="C36" s="33"/>
      <c r="D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23" s="35" customFormat="1" x14ac:dyDescent="0.25">
      <c r="A37" s="39" t="s">
        <v>46</v>
      </c>
      <c r="B37" s="32"/>
      <c r="C37" s="33"/>
      <c r="D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23" s="35" customFormat="1" x14ac:dyDescent="0.25">
      <c r="A38" s="38"/>
      <c r="B38" s="32"/>
      <c r="C38" s="33"/>
      <c r="D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23" x14ac:dyDescent="0.25">
      <c r="A39" s="39" t="s">
        <v>63</v>
      </c>
    </row>
    <row r="41" spans="1:23" x14ac:dyDescent="0.25">
      <c r="A41" s="44" t="s">
        <v>61</v>
      </c>
    </row>
    <row r="42" spans="1:23" x14ac:dyDescent="0.25">
      <c r="A42" s="39"/>
    </row>
    <row r="44" spans="1:23" x14ac:dyDescent="0.25">
      <c r="A44" s="39"/>
      <c r="B44" s="40"/>
      <c r="C44" s="41"/>
      <c r="D44" s="41"/>
      <c r="E44" s="41"/>
      <c r="F44" s="41"/>
      <c r="G44" s="41"/>
      <c r="H44" s="41"/>
      <c r="I44" s="42"/>
      <c r="J44" s="41"/>
      <c r="K44" s="41"/>
      <c r="L44" s="41"/>
      <c r="M44" s="41"/>
      <c r="N44" s="41"/>
      <c r="O44" s="41"/>
    </row>
    <row r="45" spans="1:23" x14ac:dyDescent="0.25">
      <c r="A45" s="44"/>
    </row>
  </sheetData>
  <mergeCells count="13">
    <mergeCell ref="A31:W31"/>
    <mergeCell ref="A35:W35"/>
    <mergeCell ref="A9:W9"/>
    <mergeCell ref="C11:I11"/>
    <mergeCell ref="L11:O11"/>
    <mergeCell ref="Q11:R11"/>
    <mergeCell ref="U11:W11"/>
    <mergeCell ref="A6:W6"/>
    <mergeCell ref="A1:W1"/>
    <mergeCell ref="A2:W2"/>
    <mergeCell ref="A3:W3"/>
    <mergeCell ref="A4:W4"/>
    <mergeCell ref="A5:W5"/>
  </mergeCells>
  <conditionalFormatting sqref="C20:E25">
    <cfRule type="cellIs" dxfId="1" priority="1" operator="equal">
      <formula>0</formula>
    </cfRule>
  </conditionalFormatting>
  <conditionalFormatting sqref="C15:U19 F20:P22 S20:U26 F23:M25 O23:P25 C26:P26">
    <cfRule type="cellIs" dxfId="0" priority="2" operator="equal">
      <formula>0</formula>
    </cfRule>
  </conditionalFormatting>
  <hyperlinks>
    <hyperlink ref="A5" r:id="rId1" xr:uid="{B9930C50-2CE2-407A-9918-33E6FFE618D7}"/>
  </hyperlinks>
  <printOptions horizontalCentered="1" verticalCentered="1"/>
  <pageMargins left="0.25" right="0.25" top="0.75" bottom="0.75" header="0.3" footer="0.3"/>
  <pageSetup scale="6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FY 25-26</vt:lpstr>
      <vt:lpstr>FY 24-25</vt:lpstr>
      <vt:lpstr>FY 23-24</vt:lpstr>
      <vt:lpstr>FY 22-23</vt:lpstr>
      <vt:lpstr>FY 21-22</vt:lpstr>
      <vt:lpstr>FY 20-21</vt:lpstr>
      <vt:lpstr>FY 19-20</vt:lpstr>
      <vt:lpstr>FY 18-19</vt:lpstr>
      <vt:lpstr>FY 17-18</vt:lpstr>
      <vt:lpstr>FY 16-17</vt:lpstr>
      <vt:lpstr>'FY 16-17'!Print_Area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2025-07-11T14:34:25Z</cp:lastPrinted>
  <dcterms:created xsi:type="dcterms:W3CDTF">2018-12-07T15:33:24Z</dcterms:created>
  <dcterms:modified xsi:type="dcterms:W3CDTF">2026-02-05T21:21:00Z</dcterms:modified>
</cp:coreProperties>
</file>