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team-prod\Desktop\Staging folder - FOR WEB USE\"/>
    </mc:Choice>
  </mc:AlternateContent>
  <bookViews>
    <workbookView xWindow="90" yWindow="150" windowWidth="7530" windowHeight="4050"/>
  </bookViews>
  <sheets>
    <sheet name="MONTHLY STATS" sheetId="1" r:id="rId1"/>
    <sheet name="YTD TAXES" sheetId="2" r:id="rId2"/>
    <sheet name="TABLE STATS" sheetId="3" r:id="rId3"/>
    <sheet name="HYBRID STATS" sheetId="5" r:id="rId4"/>
    <sheet name="SLOT STATS" sheetId="4" r:id="rId5"/>
  </sheets>
  <definedNames>
    <definedName name="_xlnm.Print_Area" localSheetId="0">'MONTHLY STATS'!$A$1:$M$156</definedName>
    <definedName name="_xlnm.Print_Area" localSheetId="4">'SLOT STATS'!$A$1:$I$157</definedName>
    <definedName name="_xlnm.Print_Area" localSheetId="2">'TABLE STATS'!$A$1:$H$156</definedName>
    <definedName name="_xlnm.Print_Titles" localSheetId="3">'HYBRID STATS'!$1:$8</definedName>
    <definedName name="_xlnm.Print_Titles" localSheetId="0">'MONTHLY STATS'!$1:$7</definedName>
    <definedName name="_xlnm.Print_Titles" localSheetId="4">'SLOT STATS'!$1:$8</definedName>
    <definedName name="_xlnm.Print_Titles" localSheetId="2">'TABLE STATS'!$1:$7</definedName>
  </definedNames>
  <calcPr calcId="162913"/>
</workbook>
</file>

<file path=xl/calcChain.xml><?xml version="1.0" encoding="utf-8"?>
<calcChain xmlns="http://schemas.openxmlformats.org/spreadsheetml/2006/main">
  <c r="F16" i="1" l="1"/>
  <c r="E155" i="4"/>
  <c r="D155" i="4"/>
  <c r="C155" i="4"/>
  <c r="F149" i="4"/>
  <c r="G149" i="4"/>
  <c r="H149" i="4" s="1"/>
  <c r="F138" i="4"/>
  <c r="G138" i="4"/>
  <c r="H138" i="4"/>
  <c r="F127" i="4"/>
  <c r="G127" i="4"/>
  <c r="H127" i="4" s="1"/>
  <c r="F116" i="4"/>
  <c r="G116" i="4"/>
  <c r="H116" i="4"/>
  <c r="F105" i="4"/>
  <c r="G105" i="4"/>
  <c r="H105" i="4" s="1"/>
  <c r="F94" i="4"/>
  <c r="G94" i="4"/>
  <c r="H94" i="4"/>
  <c r="F83" i="4"/>
  <c r="G83" i="4"/>
  <c r="H83" i="4" s="1"/>
  <c r="F72" i="4"/>
  <c r="G72" i="4"/>
  <c r="H72" i="4"/>
  <c r="F61" i="4"/>
  <c r="G61" i="4"/>
  <c r="H61" i="4" s="1"/>
  <c r="F50" i="4"/>
  <c r="G50" i="4"/>
  <c r="H50" i="4"/>
  <c r="F39" i="4"/>
  <c r="G39" i="4"/>
  <c r="H39" i="4" s="1"/>
  <c r="F28" i="4"/>
  <c r="G28" i="4"/>
  <c r="H28" i="4"/>
  <c r="F17" i="4"/>
  <c r="G17" i="4"/>
  <c r="H17" i="4" s="1"/>
  <c r="B149" i="4"/>
  <c r="B138" i="4"/>
  <c r="B127" i="4"/>
  <c r="B116" i="4"/>
  <c r="B105" i="4"/>
  <c r="B94" i="4"/>
  <c r="B83" i="4"/>
  <c r="B72" i="4"/>
  <c r="B61" i="4"/>
  <c r="B50" i="4"/>
  <c r="B39" i="4"/>
  <c r="B28" i="4"/>
  <c r="B17" i="4"/>
  <c r="E155" i="5"/>
  <c r="D155" i="5"/>
  <c r="G155" i="5" s="1"/>
  <c r="H155" i="5" s="1"/>
  <c r="C155" i="5"/>
  <c r="F138" i="5"/>
  <c r="G138" i="5"/>
  <c r="H138" i="5"/>
  <c r="G17" i="5"/>
  <c r="H17" i="5" s="1"/>
  <c r="B149" i="5"/>
  <c r="B138" i="5"/>
  <c r="B127" i="5"/>
  <c r="B116" i="5"/>
  <c r="B105" i="5"/>
  <c r="B94" i="5"/>
  <c r="B83" i="5"/>
  <c r="B72" i="5"/>
  <c r="B61" i="5"/>
  <c r="B50" i="5"/>
  <c r="B39" i="5"/>
  <c r="B28" i="5"/>
  <c r="B17" i="5"/>
  <c r="E154" i="3"/>
  <c r="D154" i="3"/>
  <c r="F154" i="3"/>
  <c r="C154" i="3"/>
  <c r="F148" i="3"/>
  <c r="G148" i="3"/>
  <c r="F137" i="3"/>
  <c r="G137" i="3"/>
  <c r="F126" i="3"/>
  <c r="G126" i="3"/>
  <c r="F115" i="3"/>
  <c r="G115" i="3"/>
  <c r="F104" i="3"/>
  <c r="G104" i="3"/>
  <c r="F93" i="3"/>
  <c r="G93" i="3"/>
  <c r="F82" i="3"/>
  <c r="G82" i="3"/>
  <c r="F71" i="3"/>
  <c r="G71" i="3"/>
  <c r="F60" i="3"/>
  <c r="G60" i="3"/>
  <c r="F49" i="3"/>
  <c r="G49" i="3"/>
  <c r="F38" i="3"/>
  <c r="G38" i="3"/>
  <c r="F27" i="3"/>
  <c r="G27" i="3"/>
  <c r="F16" i="3"/>
  <c r="G16" i="3"/>
  <c r="B148" i="3"/>
  <c r="B137" i="3"/>
  <c r="B126" i="3"/>
  <c r="B115" i="3"/>
  <c r="B104" i="3"/>
  <c r="B93" i="3"/>
  <c r="B82" i="3"/>
  <c r="B71" i="3"/>
  <c r="B60" i="3"/>
  <c r="B49" i="3"/>
  <c r="B38" i="3"/>
  <c r="B27" i="3"/>
  <c r="B16" i="3"/>
  <c r="N38" i="2"/>
  <c r="M38" i="2"/>
  <c r="L38" i="2"/>
  <c r="K38" i="2"/>
  <c r="J38" i="2"/>
  <c r="I38" i="2"/>
  <c r="H38" i="2"/>
  <c r="G38" i="2"/>
  <c r="F38" i="2"/>
  <c r="E38" i="2"/>
  <c r="O38" i="2" s="1"/>
  <c r="D38" i="2"/>
  <c r="C38" i="2"/>
  <c r="B38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38" i="2"/>
  <c r="A17" i="2"/>
  <c r="F10" i="1"/>
  <c r="J10" i="1"/>
  <c r="F132" i="1"/>
  <c r="H132" i="1"/>
  <c r="F131" i="1"/>
  <c r="G25" i="1"/>
  <c r="L154" i="1"/>
  <c r="K154" i="1"/>
  <c r="M154" i="1"/>
  <c r="D154" i="1"/>
  <c r="C154" i="1"/>
  <c r="E154" i="1"/>
  <c r="M148" i="1"/>
  <c r="I148" i="1"/>
  <c r="J148" i="1"/>
  <c r="G148" i="1"/>
  <c r="F148" i="1"/>
  <c r="H148" i="1" s="1"/>
  <c r="E148" i="1"/>
  <c r="M137" i="1"/>
  <c r="I137" i="1"/>
  <c r="J137" i="1"/>
  <c r="G137" i="1"/>
  <c r="F137" i="1"/>
  <c r="H137" i="1" s="1"/>
  <c r="E137" i="1"/>
  <c r="H126" i="1"/>
  <c r="M126" i="1"/>
  <c r="I126" i="1"/>
  <c r="J126" i="1"/>
  <c r="G126" i="1"/>
  <c r="F126" i="1"/>
  <c r="E126" i="1"/>
  <c r="M115" i="1"/>
  <c r="I115" i="1"/>
  <c r="J115" i="1"/>
  <c r="G115" i="1"/>
  <c r="F115" i="1"/>
  <c r="H115" i="1" s="1"/>
  <c r="E115" i="1"/>
  <c r="M104" i="1"/>
  <c r="I104" i="1"/>
  <c r="G104" i="1"/>
  <c r="F104" i="1"/>
  <c r="H104" i="1" s="1"/>
  <c r="E104" i="1"/>
  <c r="H93" i="1"/>
  <c r="M93" i="1"/>
  <c r="I93" i="1"/>
  <c r="J93" i="1"/>
  <c r="G93" i="1"/>
  <c r="F93" i="1"/>
  <c r="E93" i="1"/>
  <c r="H82" i="1"/>
  <c r="M82" i="1"/>
  <c r="I82" i="1"/>
  <c r="J82" i="1"/>
  <c r="G82" i="1"/>
  <c r="F82" i="1"/>
  <c r="E82" i="1"/>
  <c r="M71" i="1"/>
  <c r="I71" i="1"/>
  <c r="G71" i="1"/>
  <c r="F71" i="1"/>
  <c r="H71" i="1" s="1"/>
  <c r="E71" i="1"/>
  <c r="H60" i="1"/>
  <c r="M60" i="1"/>
  <c r="I60" i="1"/>
  <c r="F60" i="1"/>
  <c r="J60" i="1" s="1"/>
  <c r="G60" i="1"/>
  <c r="E60" i="1"/>
  <c r="M49" i="1"/>
  <c r="I49" i="1"/>
  <c r="G49" i="1"/>
  <c r="F49" i="1"/>
  <c r="H49" i="1" s="1"/>
  <c r="E49" i="1"/>
  <c r="H38" i="1"/>
  <c r="M38" i="1"/>
  <c r="I38" i="1"/>
  <c r="G38" i="1"/>
  <c r="F38" i="1"/>
  <c r="J38" i="1" s="1"/>
  <c r="E38" i="1"/>
  <c r="H27" i="1"/>
  <c r="M27" i="1"/>
  <c r="I27" i="1"/>
  <c r="J27" i="1"/>
  <c r="G27" i="1"/>
  <c r="F27" i="1"/>
  <c r="E27" i="1"/>
  <c r="M16" i="1"/>
  <c r="I16" i="1"/>
  <c r="J16" i="1"/>
  <c r="G16" i="1"/>
  <c r="G154" i="1" s="1"/>
  <c r="E16" i="1"/>
  <c r="B148" i="1"/>
  <c r="B137" i="1"/>
  <c r="B126" i="1"/>
  <c r="B115" i="1"/>
  <c r="B104" i="1"/>
  <c r="B93" i="1"/>
  <c r="B82" i="1"/>
  <c r="B71" i="1"/>
  <c r="B60" i="1"/>
  <c r="B49" i="1"/>
  <c r="B38" i="1"/>
  <c r="B27" i="1"/>
  <c r="B16" i="1"/>
  <c r="G155" i="4"/>
  <c r="H155" i="4" s="1"/>
  <c r="G154" i="3"/>
  <c r="F148" i="4"/>
  <c r="G148" i="4"/>
  <c r="H148" i="4" s="1"/>
  <c r="F137" i="4"/>
  <c r="G137" i="4"/>
  <c r="H137" i="4"/>
  <c r="F126" i="4"/>
  <c r="G126" i="4"/>
  <c r="H126" i="4" s="1"/>
  <c r="F115" i="4"/>
  <c r="G115" i="4"/>
  <c r="H115" i="4"/>
  <c r="F104" i="4"/>
  <c r="G104" i="4"/>
  <c r="H104" i="4" s="1"/>
  <c r="F93" i="4"/>
  <c r="G93" i="4"/>
  <c r="H93" i="4"/>
  <c r="F82" i="4"/>
  <c r="G82" i="4"/>
  <c r="H82" i="4" s="1"/>
  <c r="F71" i="4"/>
  <c r="G71" i="4"/>
  <c r="H71" i="4"/>
  <c r="F60" i="4"/>
  <c r="G60" i="4"/>
  <c r="H60" i="4" s="1"/>
  <c r="F49" i="4"/>
  <c r="G49" i="4"/>
  <c r="H49" i="4"/>
  <c r="F38" i="4"/>
  <c r="G38" i="4"/>
  <c r="H38" i="4" s="1"/>
  <c r="F27" i="4"/>
  <c r="G27" i="4"/>
  <c r="H27" i="4"/>
  <c r="F16" i="4"/>
  <c r="G16" i="4"/>
  <c r="H16" i="4" s="1"/>
  <c r="B148" i="4"/>
  <c r="B137" i="4"/>
  <c r="B126" i="4"/>
  <c r="B115" i="4"/>
  <c r="B104" i="4"/>
  <c r="B93" i="4"/>
  <c r="B82" i="4"/>
  <c r="B71" i="4"/>
  <c r="B60" i="4"/>
  <c r="B49" i="4"/>
  <c r="B38" i="4"/>
  <c r="B27" i="4"/>
  <c r="B16" i="4"/>
  <c r="F137" i="5"/>
  <c r="F155" i="5"/>
  <c r="G137" i="5"/>
  <c r="H137" i="5"/>
  <c r="G16" i="5"/>
  <c r="H16" i="5"/>
  <c r="B148" i="5"/>
  <c r="B137" i="5"/>
  <c r="B126" i="5"/>
  <c r="B115" i="5"/>
  <c r="B104" i="5"/>
  <c r="B93" i="5"/>
  <c r="B82" i="5"/>
  <c r="B71" i="5"/>
  <c r="B60" i="5"/>
  <c r="B49" i="5"/>
  <c r="B38" i="5"/>
  <c r="B27" i="5"/>
  <c r="B16" i="5"/>
  <c r="F147" i="3"/>
  <c r="G147" i="3"/>
  <c r="F136" i="3"/>
  <c r="G136" i="3"/>
  <c r="F125" i="3"/>
  <c r="G125" i="3"/>
  <c r="F114" i="3"/>
  <c r="G114" i="3"/>
  <c r="F103" i="3"/>
  <c r="G103" i="3"/>
  <c r="F92" i="3"/>
  <c r="G92" i="3"/>
  <c r="F81" i="3"/>
  <c r="G81" i="3"/>
  <c r="F70" i="3"/>
  <c r="G70" i="3"/>
  <c r="F59" i="3"/>
  <c r="G59" i="3"/>
  <c r="F48" i="3"/>
  <c r="G48" i="3"/>
  <c r="F37" i="3"/>
  <c r="G37" i="3"/>
  <c r="F26" i="3"/>
  <c r="G26" i="3"/>
  <c r="F15" i="3"/>
  <c r="G15" i="3"/>
  <c r="B147" i="3"/>
  <c r="B136" i="3"/>
  <c r="B125" i="3"/>
  <c r="B114" i="3"/>
  <c r="B103" i="3"/>
  <c r="B92" i="3"/>
  <c r="B81" i="3"/>
  <c r="B70" i="3"/>
  <c r="B59" i="3"/>
  <c r="B48" i="3"/>
  <c r="B37" i="3"/>
  <c r="B26" i="3"/>
  <c r="B15" i="3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N16" i="2"/>
  <c r="M16" i="2"/>
  <c r="L16" i="2"/>
  <c r="K16" i="2"/>
  <c r="J16" i="2"/>
  <c r="O16" i="2" s="1"/>
  <c r="I16" i="2"/>
  <c r="H16" i="2"/>
  <c r="G16" i="2"/>
  <c r="F16" i="2"/>
  <c r="E16" i="2"/>
  <c r="D16" i="2"/>
  <c r="C16" i="2"/>
  <c r="B16" i="2"/>
  <c r="A37" i="2"/>
  <c r="A16" i="2"/>
  <c r="F25" i="1"/>
  <c r="H25" i="1" s="1"/>
  <c r="F80" i="1"/>
  <c r="J80" i="1" s="1"/>
  <c r="F124" i="1"/>
  <c r="J124" i="1" s="1"/>
  <c r="M147" i="1"/>
  <c r="I147" i="1"/>
  <c r="G147" i="1"/>
  <c r="F147" i="1"/>
  <c r="H147" i="1" s="1"/>
  <c r="E147" i="1"/>
  <c r="H136" i="1"/>
  <c r="M136" i="1"/>
  <c r="I136" i="1"/>
  <c r="G136" i="1"/>
  <c r="F136" i="1"/>
  <c r="J136" i="1" s="1"/>
  <c r="E136" i="1"/>
  <c r="M125" i="1"/>
  <c r="I125" i="1"/>
  <c r="G125" i="1"/>
  <c r="F125" i="1"/>
  <c r="H125" i="1" s="1"/>
  <c r="E125" i="1"/>
  <c r="H114" i="1"/>
  <c r="M114" i="1"/>
  <c r="I114" i="1"/>
  <c r="J114" i="1"/>
  <c r="G114" i="1"/>
  <c r="F114" i="1"/>
  <c r="E114" i="1"/>
  <c r="H103" i="1"/>
  <c r="M103" i="1"/>
  <c r="I103" i="1"/>
  <c r="G103" i="1"/>
  <c r="F103" i="1"/>
  <c r="J103" i="1" s="1"/>
  <c r="E103" i="1"/>
  <c r="M92" i="1"/>
  <c r="I92" i="1"/>
  <c r="J92" i="1"/>
  <c r="G92" i="1"/>
  <c r="H92" i="1" s="1"/>
  <c r="F92" i="1"/>
  <c r="E92" i="1"/>
  <c r="M81" i="1"/>
  <c r="I81" i="1"/>
  <c r="J81" i="1"/>
  <c r="G81" i="1"/>
  <c r="F81" i="1"/>
  <c r="H81" i="1" s="1"/>
  <c r="E81" i="1"/>
  <c r="M70" i="1"/>
  <c r="I70" i="1"/>
  <c r="G70" i="1"/>
  <c r="H70" i="1" s="1"/>
  <c r="F70" i="1"/>
  <c r="J70" i="1" s="1"/>
  <c r="E70" i="1"/>
  <c r="M59" i="1"/>
  <c r="I59" i="1"/>
  <c r="G59" i="1"/>
  <c r="F59" i="1"/>
  <c r="H59" i="1" s="1"/>
  <c r="E59" i="1"/>
  <c r="H48" i="1"/>
  <c r="M48" i="1"/>
  <c r="I48" i="1"/>
  <c r="J48" i="1"/>
  <c r="G48" i="1"/>
  <c r="F48" i="1"/>
  <c r="E48" i="1"/>
  <c r="M37" i="1"/>
  <c r="I37" i="1"/>
  <c r="G37" i="1"/>
  <c r="F37" i="1"/>
  <c r="H37" i="1" s="1"/>
  <c r="E37" i="1"/>
  <c r="H26" i="1"/>
  <c r="M26" i="1"/>
  <c r="I26" i="1"/>
  <c r="J26" i="1"/>
  <c r="G26" i="1"/>
  <c r="F26" i="1"/>
  <c r="E26" i="1"/>
  <c r="M15" i="1"/>
  <c r="I15" i="1"/>
  <c r="J15" i="1"/>
  <c r="G15" i="1"/>
  <c r="F15" i="1"/>
  <c r="H15" i="1" s="1"/>
  <c r="E15" i="1"/>
  <c r="B147" i="1"/>
  <c r="B136" i="1"/>
  <c r="B125" i="1"/>
  <c r="B114" i="1"/>
  <c r="B103" i="1"/>
  <c r="B92" i="1"/>
  <c r="B81" i="1"/>
  <c r="B70" i="1"/>
  <c r="B59" i="1"/>
  <c r="B48" i="1"/>
  <c r="B37" i="1"/>
  <c r="B26" i="1"/>
  <c r="B15" i="1"/>
  <c r="F147" i="4"/>
  <c r="G147" i="4"/>
  <c r="H147" i="4" s="1"/>
  <c r="F136" i="4"/>
  <c r="G136" i="4"/>
  <c r="H136" i="4"/>
  <c r="F125" i="4"/>
  <c r="G125" i="4"/>
  <c r="H125" i="4" s="1"/>
  <c r="F114" i="4"/>
  <c r="G114" i="4"/>
  <c r="H114" i="4"/>
  <c r="F103" i="4"/>
  <c r="G103" i="4"/>
  <c r="H103" i="4" s="1"/>
  <c r="F92" i="4"/>
  <c r="G92" i="4"/>
  <c r="H92" i="4"/>
  <c r="F81" i="4"/>
  <c r="G81" i="4"/>
  <c r="H81" i="4" s="1"/>
  <c r="F70" i="4"/>
  <c r="G70" i="4"/>
  <c r="H70" i="4"/>
  <c r="F59" i="4"/>
  <c r="G59" i="4"/>
  <c r="H59" i="4" s="1"/>
  <c r="F48" i="4"/>
  <c r="G48" i="4"/>
  <c r="H48" i="4"/>
  <c r="F37" i="4"/>
  <c r="G37" i="4"/>
  <c r="H37" i="4" s="1"/>
  <c r="F26" i="4"/>
  <c r="G26" i="4"/>
  <c r="H26" i="4"/>
  <c r="F15" i="4"/>
  <c r="G15" i="4"/>
  <c r="H15" i="4" s="1"/>
  <c r="B147" i="4"/>
  <c r="B136" i="4"/>
  <c r="B125" i="4"/>
  <c r="B114" i="4"/>
  <c r="B103" i="4"/>
  <c r="B92" i="4"/>
  <c r="B81" i="4"/>
  <c r="B70" i="4"/>
  <c r="B59" i="4"/>
  <c r="B48" i="4"/>
  <c r="B37" i="4"/>
  <c r="B26" i="4"/>
  <c r="B15" i="4"/>
  <c r="G136" i="5"/>
  <c r="H136" i="5"/>
  <c r="G15" i="5"/>
  <c r="H15" i="5"/>
  <c r="B147" i="5"/>
  <c r="B136" i="5"/>
  <c r="B125" i="5"/>
  <c r="B114" i="5"/>
  <c r="B103" i="5"/>
  <c r="B92" i="5"/>
  <c r="B81" i="5"/>
  <c r="B70" i="5"/>
  <c r="B59" i="5"/>
  <c r="B48" i="5"/>
  <c r="B37" i="5"/>
  <c r="B26" i="5"/>
  <c r="B15" i="5"/>
  <c r="F146" i="3"/>
  <c r="G146" i="3"/>
  <c r="F135" i="3"/>
  <c r="G135" i="3"/>
  <c r="F124" i="3"/>
  <c r="G124" i="3"/>
  <c r="F113" i="3"/>
  <c r="G113" i="3"/>
  <c r="F102" i="3"/>
  <c r="G102" i="3"/>
  <c r="F91" i="3"/>
  <c r="G91" i="3"/>
  <c r="F80" i="3"/>
  <c r="G80" i="3"/>
  <c r="F69" i="3"/>
  <c r="G69" i="3"/>
  <c r="F58" i="3"/>
  <c r="G58" i="3"/>
  <c r="F47" i="3"/>
  <c r="G47" i="3"/>
  <c r="F36" i="3"/>
  <c r="G36" i="3"/>
  <c r="F25" i="3"/>
  <c r="G25" i="3"/>
  <c r="F14" i="3"/>
  <c r="G14" i="3"/>
  <c r="B146" i="3"/>
  <c r="B135" i="3"/>
  <c r="B124" i="3"/>
  <c r="B113" i="3"/>
  <c r="B102" i="3"/>
  <c r="B91" i="3"/>
  <c r="B80" i="3"/>
  <c r="B69" i="3"/>
  <c r="B58" i="3"/>
  <c r="B47" i="3"/>
  <c r="B36" i="3"/>
  <c r="B25" i="3"/>
  <c r="B14" i="3"/>
  <c r="N36" i="2"/>
  <c r="M36" i="2"/>
  <c r="L36" i="2"/>
  <c r="K36" i="2"/>
  <c r="J36" i="2"/>
  <c r="I36" i="2"/>
  <c r="H36" i="2"/>
  <c r="G36" i="2"/>
  <c r="O36" i="2" s="1"/>
  <c r="F36" i="2"/>
  <c r="E36" i="2"/>
  <c r="D36" i="2"/>
  <c r="C36" i="2"/>
  <c r="B36" i="2"/>
  <c r="N15" i="2"/>
  <c r="M15" i="2"/>
  <c r="L15" i="2"/>
  <c r="K15" i="2"/>
  <c r="J15" i="2"/>
  <c r="I15" i="2"/>
  <c r="H15" i="2"/>
  <c r="O15" i="2" s="1"/>
  <c r="G15" i="2"/>
  <c r="F15" i="2"/>
  <c r="E15" i="2"/>
  <c r="D15" i="2"/>
  <c r="C15" i="2"/>
  <c r="B15" i="2"/>
  <c r="A36" i="2"/>
  <c r="A15" i="2"/>
  <c r="F79" i="1"/>
  <c r="H146" i="1"/>
  <c r="M146" i="1"/>
  <c r="I146" i="1"/>
  <c r="J146" i="1"/>
  <c r="G146" i="1"/>
  <c r="F146" i="1"/>
  <c r="E146" i="1"/>
  <c r="M124" i="1"/>
  <c r="I124" i="1"/>
  <c r="G124" i="1"/>
  <c r="E124" i="1"/>
  <c r="M135" i="1"/>
  <c r="I135" i="1"/>
  <c r="J135" i="1"/>
  <c r="G135" i="1"/>
  <c r="F135" i="1"/>
  <c r="H135" i="1" s="1"/>
  <c r="E135" i="1"/>
  <c r="M113" i="1"/>
  <c r="I113" i="1"/>
  <c r="G113" i="1"/>
  <c r="H113" i="1" s="1"/>
  <c r="F113" i="1"/>
  <c r="J113" i="1" s="1"/>
  <c r="E113" i="1"/>
  <c r="M102" i="1"/>
  <c r="I102" i="1"/>
  <c r="G102" i="1"/>
  <c r="F102" i="1"/>
  <c r="J102" i="1" s="1"/>
  <c r="E102" i="1"/>
  <c r="M91" i="1"/>
  <c r="I91" i="1"/>
  <c r="G91" i="1"/>
  <c r="H91" i="1" s="1"/>
  <c r="F91" i="1"/>
  <c r="J91" i="1" s="1"/>
  <c r="E91" i="1"/>
  <c r="M80" i="1"/>
  <c r="I80" i="1"/>
  <c r="G80" i="1"/>
  <c r="E80" i="1"/>
  <c r="H69" i="1"/>
  <c r="M69" i="1"/>
  <c r="I69" i="1"/>
  <c r="J69" i="1"/>
  <c r="G69" i="1"/>
  <c r="F69" i="1"/>
  <c r="E69" i="1"/>
  <c r="M58" i="1"/>
  <c r="I58" i="1"/>
  <c r="G58" i="1"/>
  <c r="F58" i="1"/>
  <c r="H58" i="1" s="1"/>
  <c r="E58" i="1"/>
  <c r="M47" i="1"/>
  <c r="I47" i="1"/>
  <c r="G47" i="1"/>
  <c r="F47" i="1"/>
  <c r="J47" i="1" s="1"/>
  <c r="E47" i="1"/>
  <c r="M36" i="1"/>
  <c r="I36" i="1"/>
  <c r="G36" i="1"/>
  <c r="H36" i="1" s="1"/>
  <c r="F36" i="1"/>
  <c r="J36" i="1" s="1"/>
  <c r="E36" i="1"/>
  <c r="M25" i="1"/>
  <c r="I25" i="1"/>
  <c r="E25" i="1"/>
  <c r="M14" i="1"/>
  <c r="I14" i="1"/>
  <c r="G14" i="1"/>
  <c r="F14" i="1"/>
  <c r="H14" i="1" s="1"/>
  <c r="E14" i="1"/>
  <c r="B146" i="1"/>
  <c r="B135" i="1"/>
  <c r="B124" i="1"/>
  <c r="B113" i="1"/>
  <c r="B102" i="1"/>
  <c r="B91" i="1"/>
  <c r="B80" i="1"/>
  <c r="B69" i="1"/>
  <c r="B58" i="1"/>
  <c r="B47" i="1"/>
  <c r="B36" i="1"/>
  <c r="B25" i="1"/>
  <c r="B14" i="1"/>
  <c r="F146" i="4"/>
  <c r="G146" i="4"/>
  <c r="H146" i="4" s="1"/>
  <c r="F135" i="4"/>
  <c r="G135" i="4"/>
  <c r="H135" i="4"/>
  <c r="F124" i="4"/>
  <c r="G124" i="4"/>
  <c r="H124" i="4" s="1"/>
  <c r="F113" i="4"/>
  <c r="G113" i="4"/>
  <c r="H113" i="4"/>
  <c r="F102" i="4"/>
  <c r="G102" i="4"/>
  <c r="H102" i="4" s="1"/>
  <c r="F91" i="4"/>
  <c r="G91" i="4"/>
  <c r="H91" i="4"/>
  <c r="F80" i="4"/>
  <c r="G80" i="4"/>
  <c r="H80" i="4" s="1"/>
  <c r="F69" i="4"/>
  <c r="G69" i="4"/>
  <c r="H69" i="4"/>
  <c r="F58" i="4"/>
  <c r="G58" i="4"/>
  <c r="H58" i="4" s="1"/>
  <c r="F47" i="4"/>
  <c r="G47" i="4"/>
  <c r="H47" i="4"/>
  <c r="F36" i="4"/>
  <c r="G36" i="4"/>
  <c r="H36" i="4" s="1"/>
  <c r="F25" i="4"/>
  <c r="G25" i="4"/>
  <c r="H25" i="4"/>
  <c r="F14" i="4"/>
  <c r="G14" i="4"/>
  <c r="H14" i="4" s="1"/>
  <c r="B146" i="4"/>
  <c r="B135" i="4"/>
  <c r="B124" i="4"/>
  <c r="B113" i="4"/>
  <c r="B102" i="4"/>
  <c r="B91" i="4"/>
  <c r="B80" i="4"/>
  <c r="B69" i="4"/>
  <c r="B58" i="4"/>
  <c r="B47" i="4"/>
  <c r="B36" i="4"/>
  <c r="B25" i="4"/>
  <c r="B14" i="4"/>
  <c r="G14" i="5"/>
  <c r="H14" i="5"/>
  <c r="G135" i="5"/>
  <c r="H135" i="5"/>
  <c r="B146" i="5"/>
  <c r="B135" i="5"/>
  <c r="B124" i="5"/>
  <c r="B113" i="5"/>
  <c r="B102" i="5"/>
  <c r="B91" i="5"/>
  <c r="B80" i="5"/>
  <c r="B69" i="5"/>
  <c r="B58" i="5"/>
  <c r="B47" i="5"/>
  <c r="B36" i="5"/>
  <c r="B25" i="5"/>
  <c r="B14" i="5"/>
  <c r="F145" i="3"/>
  <c r="G145" i="3"/>
  <c r="F134" i="3"/>
  <c r="G134" i="3"/>
  <c r="F123" i="3"/>
  <c r="G123" i="3"/>
  <c r="F112" i="3"/>
  <c r="G112" i="3"/>
  <c r="F101" i="3"/>
  <c r="G101" i="3"/>
  <c r="F90" i="3"/>
  <c r="G90" i="3"/>
  <c r="F79" i="3"/>
  <c r="G79" i="3"/>
  <c r="F68" i="3"/>
  <c r="G68" i="3"/>
  <c r="F57" i="3"/>
  <c r="G57" i="3"/>
  <c r="F46" i="3"/>
  <c r="G46" i="3"/>
  <c r="F35" i="3"/>
  <c r="G35" i="3"/>
  <c r="F24" i="3"/>
  <c r="G24" i="3"/>
  <c r="F13" i="3"/>
  <c r="G13" i="3"/>
  <c r="B145" i="3"/>
  <c r="B134" i="3"/>
  <c r="B123" i="3"/>
  <c r="B112" i="3"/>
  <c r="B101" i="3"/>
  <c r="B90" i="3"/>
  <c r="B79" i="3"/>
  <c r="B68" i="3"/>
  <c r="B57" i="3"/>
  <c r="B46" i="3"/>
  <c r="B35" i="3"/>
  <c r="B24" i="3"/>
  <c r="B13" i="3"/>
  <c r="N35" i="2"/>
  <c r="M35" i="2"/>
  <c r="L35" i="2"/>
  <c r="K35" i="2"/>
  <c r="J35" i="2"/>
  <c r="I35" i="2"/>
  <c r="H35" i="2"/>
  <c r="G35" i="2"/>
  <c r="F35" i="2"/>
  <c r="E35" i="2"/>
  <c r="D35" i="2"/>
  <c r="C35" i="2"/>
  <c r="O35" i="2" s="1"/>
  <c r="B3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35" i="2"/>
  <c r="A14" i="2"/>
  <c r="M145" i="1"/>
  <c r="I145" i="1"/>
  <c r="G145" i="1"/>
  <c r="F145" i="1"/>
  <c r="H145" i="1" s="1"/>
  <c r="E145" i="1"/>
  <c r="H134" i="1"/>
  <c r="M134" i="1"/>
  <c r="I134" i="1"/>
  <c r="G134" i="1"/>
  <c r="F134" i="1"/>
  <c r="J134" i="1" s="1"/>
  <c r="E134" i="1"/>
  <c r="M123" i="1"/>
  <c r="I123" i="1"/>
  <c r="G123" i="1"/>
  <c r="F123" i="1"/>
  <c r="H123" i="1" s="1"/>
  <c r="E123" i="1"/>
  <c r="H112" i="1"/>
  <c r="M112" i="1"/>
  <c r="I112" i="1"/>
  <c r="J112" i="1"/>
  <c r="G112" i="1"/>
  <c r="F112" i="1"/>
  <c r="E112" i="1"/>
  <c r="M101" i="1"/>
  <c r="I101" i="1"/>
  <c r="J101" i="1"/>
  <c r="G101" i="1"/>
  <c r="F101" i="1"/>
  <c r="H101" i="1" s="1"/>
  <c r="E101" i="1"/>
  <c r="M90" i="1"/>
  <c r="I90" i="1"/>
  <c r="G90" i="1"/>
  <c r="H90" i="1" s="1"/>
  <c r="F90" i="1"/>
  <c r="J90" i="1" s="1"/>
  <c r="E90" i="1"/>
  <c r="M79" i="1"/>
  <c r="I79" i="1"/>
  <c r="G79" i="1"/>
  <c r="H79" i="1"/>
  <c r="E79" i="1"/>
  <c r="M68" i="1"/>
  <c r="I68" i="1"/>
  <c r="G68" i="1"/>
  <c r="H68" i="1" s="1"/>
  <c r="F68" i="1"/>
  <c r="J68" i="1" s="1"/>
  <c r="E68" i="1"/>
  <c r="H57" i="1"/>
  <c r="M57" i="1"/>
  <c r="I57" i="1"/>
  <c r="G57" i="1"/>
  <c r="F57" i="1"/>
  <c r="J57" i="1" s="1"/>
  <c r="E57" i="1"/>
  <c r="M46" i="1"/>
  <c r="I46" i="1"/>
  <c r="G46" i="1"/>
  <c r="F46" i="1"/>
  <c r="H46" i="1" s="1"/>
  <c r="E46" i="1"/>
  <c r="H35" i="1"/>
  <c r="M35" i="1"/>
  <c r="I35" i="1"/>
  <c r="J35" i="1"/>
  <c r="G35" i="1"/>
  <c r="F35" i="1"/>
  <c r="E35" i="1"/>
  <c r="M24" i="1"/>
  <c r="I24" i="1"/>
  <c r="J24" i="1"/>
  <c r="G24" i="1"/>
  <c r="F24" i="1"/>
  <c r="H24" i="1" s="1"/>
  <c r="E24" i="1"/>
  <c r="M13" i="1"/>
  <c r="I13" i="1"/>
  <c r="G13" i="1"/>
  <c r="H13" i="1" s="1"/>
  <c r="F13" i="1"/>
  <c r="J13" i="1" s="1"/>
  <c r="E13" i="1"/>
  <c r="B145" i="1"/>
  <c r="B134" i="1"/>
  <c r="B123" i="1"/>
  <c r="B112" i="1"/>
  <c r="B101" i="1"/>
  <c r="B90" i="1"/>
  <c r="B79" i="1"/>
  <c r="B68" i="1"/>
  <c r="B57" i="1"/>
  <c r="B46" i="1"/>
  <c r="B35" i="1"/>
  <c r="B24" i="1"/>
  <c r="B13" i="1"/>
  <c r="F145" i="4"/>
  <c r="G145" i="4"/>
  <c r="H145" i="4"/>
  <c r="F134" i="4"/>
  <c r="G134" i="4"/>
  <c r="H134" i="4" s="1"/>
  <c r="F123" i="4"/>
  <c r="G123" i="4"/>
  <c r="H123" i="4"/>
  <c r="F112" i="4"/>
  <c r="G112" i="4"/>
  <c r="H112" i="4" s="1"/>
  <c r="F101" i="4"/>
  <c r="G101" i="4"/>
  <c r="H101" i="4"/>
  <c r="F90" i="4"/>
  <c r="G90" i="4"/>
  <c r="H90" i="4" s="1"/>
  <c r="F79" i="4"/>
  <c r="G79" i="4"/>
  <c r="H79" i="4"/>
  <c r="F68" i="4"/>
  <c r="G68" i="4"/>
  <c r="H68" i="4" s="1"/>
  <c r="F57" i="4"/>
  <c r="G57" i="4"/>
  <c r="H57" i="4"/>
  <c r="F46" i="4"/>
  <c r="G46" i="4"/>
  <c r="H46" i="4" s="1"/>
  <c r="F35" i="4"/>
  <c r="G35" i="4"/>
  <c r="H35" i="4"/>
  <c r="F24" i="4"/>
  <c r="G24" i="4"/>
  <c r="H24" i="4" s="1"/>
  <c r="G13" i="4"/>
  <c r="H13" i="4" s="1"/>
  <c r="F13" i="4"/>
  <c r="B145" i="4"/>
  <c r="B134" i="4"/>
  <c r="B123" i="4"/>
  <c r="B112" i="4"/>
  <c r="B101" i="4"/>
  <c r="B90" i="4"/>
  <c r="B79" i="4"/>
  <c r="B68" i="4"/>
  <c r="B57" i="4"/>
  <c r="B46" i="4"/>
  <c r="B35" i="4"/>
  <c r="B24" i="4"/>
  <c r="B13" i="4"/>
  <c r="G134" i="5"/>
  <c r="H134" i="5" s="1"/>
  <c r="B145" i="5"/>
  <c r="B134" i="5"/>
  <c r="B123" i="5"/>
  <c r="B112" i="5"/>
  <c r="B101" i="5"/>
  <c r="B90" i="5"/>
  <c r="B79" i="5"/>
  <c r="B68" i="5"/>
  <c r="B57" i="5"/>
  <c r="B46" i="5"/>
  <c r="B35" i="5"/>
  <c r="B24" i="5"/>
  <c r="B13" i="5"/>
  <c r="F144" i="3"/>
  <c r="G144" i="3"/>
  <c r="F133" i="3"/>
  <c r="G133" i="3"/>
  <c r="F122" i="3"/>
  <c r="G122" i="3"/>
  <c r="F111" i="3"/>
  <c r="G111" i="3"/>
  <c r="F100" i="3"/>
  <c r="G100" i="3"/>
  <c r="G89" i="3"/>
  <c r="F89" i="3"/>
  <c r="F78" i="3"/>
  <c r="G78" i="3"/>
  <c r="F67" i="3"/>
  <c r="G67" i="3"/>
  <c r="F56" i="3"/>
  <c r="G56" i="3"/>
  <c r="F45" i="3"/>
  <c r="G45" i="3"/>
  <c r="F34" i="3"/>
  <c r="G34" i="3"/>
  <c r="F23" i="3"/>
  <c r="G23" i="3"/>
  <c r="G12" i="3"/>
  <c r="F12" i="3"/>
  <c r="B144" i="3"/>
  <c r="B133" i="3"/>
  <c r="B122" i="3"/>
  <c r="B111" i="3"/>
  <c r="B100" i="3"/>
  <c r="B89" i="3"/>
  <c r="B78" i="3"/>
  <c r="B67" i="3"/>
  <c r="B56" i="3"/>
  <c r="B45" i="3"/>
  <c r="B34" i="3"/>
  <c r="B23" i="3"/>
  <c r="B12" i="3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O34" i="2" s="1"/>
  <c r="A34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B23" i="2" s="1"/>
  <c r="A13" i="2"/>
  <c r="F22" i="1"/>
  <c r="H22" i="1" s="1"/>
  <c r="J132" i="1"/>
  <c r="J131" i="1"/>
  <c r="M144" i="1"/>
  <c r="I144" i="1"/>
  <c r="J144" i="1"/>
  <c r="G144" i="1"/>
  <c r="H144" i="1" s="1"/>
  <c r="F144" i="1"/>
  <c r="E144" i="1"/>
  <c r="M133" i="1"/>
  <c r="I133" i="1"/>
  <c r="J133" i="1"/>
  <c r="G133" i="1"/>
  <c r="F133" i="1"/>
  <c r="H133" i="1" s="1"/>
  <c r="E133" i="1"/>
  <c r="M122" i="1"/>
  <c r="I122" i="1"/>
  <c r="G122" i="1"/>
  <c r="H122" i="1" s="1"/>
  <c r="F122" i="1"/>
  <c r="J122" i="1" s="1"/>
  <c r="E122" i="1"/>
  <c r="M111" i="1"/>
  <c r="I111" i="1"/>
  <c r="G111" i="1"/>
  <c r="F111" i="1"/>
  <c r="H111" i="1" s="1"/>
  <c r="E111" i="1"/>
  <c r="H100" i="1"/>
  <c r="M100" i="1"/>
  <c r="I100" i="1"/>
  <c r="J100" i="1"/>
  <c r="G100" i="1"/>
  <c r="F100" i="1"/>
  <c r="E100" i="1"/>
  <c r="M89" i="1"/>
  <c r="I89" i="1"/>
  <c r="G89" i="1"/>
  <c r="F89" i="1"/>
  <c r="H89" i="1" s="1"/>
  <c r="E89" i="1"/>
  <c r="H78" i="1"/>
  <c r="M78" i="1"/>
  <c r="I78" i="1"/>
  <c r="G78" i="1"/>
  <c r="F78" i="1"/>
  <c r="J78" i="1" s="1"/>
  <c r="E78" i="1"/>
  <c r="M67" i="1"/>
  <c r="I67" i="1"/>
  <c r="G67" i="1"/>
  <c r="F67" i="1"/>
  <c r="H67" i="1" s="1"/>
  <c r="E67" i="1"/>
  <c r="H56" i="1"/>
  <c r="M56" i="1"/>
  <c r="I56" i="1"/>
  <c r="J56" i="1"/>
  <c r="G56" i="1"/>
  <c r="F56" i="1"/>
  <c r="E56" i="1"/>
  <c r="M45" i="1"/>
  <c r="I45" i="1"/>
  <c r="J45" i="1"/>
  <c r="G45" i="1"/>
  <c r="F45" i="1"/>
  <c r="H45" i="1" s="1"/>
  <c r="E45" i="1"/>
  <c r="M34" i="1"/>
  <c r="I34" i="1"/>
  <c r="G34" i="1"/>
  <c r="F34" i="1"/>
  <c r="H34" i="1" s="1"/>
  <c r="E34" i="1"/>
  <c r="H23" i="1"/>
  <c r="M23" i="1"/>
  <c r="I23" i="1"/>
  <c r="G23" i="1"/>
  <c r="F23" i="1"/>
  <c r="J23" i="1" s="1"/>
  <c r="E23" i="1"/>
  <c r="M12" i="1"/>
  <c r="J12" i="1"/>
  <c r="I12" i="1"/>
  <c r="E12" i="1"/>
  <c r="G12" i="1"/>
  <c r="H12" i="1" s="1"/>
  <c r="F12" i="1"/>
  <c r="B144" i="1"/>
  <c r="B133" i="1"/>
  <c r="B122" i="1"/>
  <c r="B111" i="1"/>
  <c r="B100" i="1"/>
  <c r="B89" i="1"/>
  <c r="B78" i="1"/>
  <c r="B67" i="1"/>
  <c r="B56" i="1"/>
  <c r="B45" i="1"/>
  <c r="B34" i="1"/>
  <c r="B23" i="1"/>
  <c r="B12" i="1"/>
  <c r="G143" i="1"/>
  <c r="F143" i="1"/>
  <c r="J143" i="1" s="1"/>
  <c r="G132" i="1"/>
  <c r="G121" i="1"/>
  <c r="F121" i="1"/>
  <c r="J121" i="1" s="1"/>
  <c r="G110" i="1"/>
  <c r="F110" i="1"/>
  <c r="J110" i="1" s="1"/>
  <c r="G99" i="1"/>
  <c r="F99" i="1"/>
  <c r="J99" i="1" s="1"/>
  <c r="G88" i="1"/>
  <c r="H88" i="1" s="1"/>
  <c r="F88" i="1"/>
  <c r="G77" i="1"/>
  <c r="F77" i="1"/>
  <c r="H77" i="1" s="1"/>
  <c r="G66" i="1"/>
  <c r="F66" i="1"/>
  <c r="J66" i="1"/>
  <c r="G55" i="1"/>
  <c r="F55" i="1"/>
  <c r="J55" i="1" s="1"/>
  <c r="G44" i="1"/>
  <c r="H44" i="1" s="1"/>
  <c r="F44" i="1"/>
  <c r="J44" i="1"/>
  <c r="G33" i="1"/>
  <c r="F33" i="1"/>
  <c r="H33" i="1" s="1"/>
  <c r="G22" i="1"/>
  <c r="G11" i="1"/>
  <c r="F11" i="1"/>
  <c r="H11" i="1" s="1"/>
  <c r="G100" i="4"/>
  <c r="H100" i="4" s="1"/>
  <c r="F100" i="4"/>
  <c r="G89" i="4"/>
  <c r="H89" i="4"/>
  <c r="F89" i="4"/>
  <c r="G78" i="4"/>
  <c r="H78" i="4" s="1"/>
  <c r="F78" i="4"/>
  <c r="G67" i="4"/>
  <c r="H67" i="4"/>
  <c r="F67" i="4"/>
  <c r="H56" i="4"/>
  <c r="G56" i="4"/>
  <c r="F56" i="4"/>
  <c r="G45" i="4"/>
  <c r="H45" i="4"/>
  <c r="F45" i="4"/>
  <c r="G34" i="4"/>
  <c r="H34" i="4" s="1"/>
  <c r="F34" i="4"/>
  <c r="G23" i="4"/>
  <c r="H23" i="4"/>
  <c r="F23" i="4"/>
  <c r="G12" i="4"/>
  <c r="H12" i="4" s="1"/>
  <c r="F12" i="4"/>
  <c r="G111" i="4"/>
  <c r="H111" i="4"/>
  <c r="F111" i="4"/>
  <c r="G122" i="4"/>
  <c r="H122" i="4" s="1"/>
  <c r="F122" i="4"/>
  <c r="G133" i="4"/>
  <c r="H133" i="4"/>
  <c r="F133" i="4"/>
  <c r="G144" i="4"/>
  <c r="H144" i="4" s="1"/>
  <c r="F144" i="4"/>
  <c r="B144" i="4"/>
  <c r="B133" i="4"/>
  <c r="B122" i="4"/>
  <c r="B111" i="4"/>
  <c r="B100" i="4"/>
  <c r="B89" i="4"/>
  <c r="B78" i="4"/>
  <c r="B67" i="4"/>
  <c r="B56" i="4"/>
  <c r="B45" i="4"/>
  <c r="B34" i="4"/>
  <c r="B23" i="4"/>
  <c r="B12" i="4"/>
  <c r="G133" i="5"/>
  <c r="H133" i="5" s="1"/>
  <c r="B144" i="5"/>
  <c r="B133" i="5"/>
  <c r="B122" i="5"/>
  <c r="B111" i="5"/>
  <c r="B100" i="5"/>
  <c r="B89" i="5"/>
  <c r="B78" i="5"/>
  <c r="B67" i="5"/>
  <c r="B56" i="5"/>
  <c r="B45" i="5"/>
  <c r="B34" i="5"/>
  <c r="B23" i="5"/>
  <c r="B12" i="5"/>
  <c r="M143" i="1"/>
  <c r="I143" i="1"/>
  <c r="E143" i="1"/>
  <c r="M132" i="1"/>
  <c r="I132" i="1"/>
  <c r="E132" i="1"/>
  <c r="M121" i="1"/>
  <c r="I121" i="1"/>
  <c r="E121" i="1"/>
  <c r="M110" i="1"/>
  <c r="I110" i="1"/>
  <c r="E110" i="1"/>
  <c r="M99" i="1"/>
  <c r="I99" i="1"/>
  <c r="E99" i="1"/>
  <c r="M88" i="1"/>
  <c r="I88" i="1"/>
  <c r="E88" i="1"/>
  <c r="M77" i="1"/>
  <c r="I77" i="1"/>
  <c r="E77" i="1"/>
  <c r="M66" i="1"/>
  <c r="I66" i="1"/>
  <c r="H66" i="1"/>
  <c r="E66" i="1"/>
  <c r="M55" i="1"/>
  <c r="I55" i="1"/>
  <c r="H55" i="1"/>
  <c r="E55" i="1"/>
  <c r="M44" i="1"/>
  <c r="I44" i="1"/>
  <c r="E44" i="1"/>
  <c r="M33" i="1"/>
  <c r="J33" i="1"/>
  <c r="I33" i="1"/>
  <c r="E33" i="1"/>
  <c r="M22" i="1"/>
  <c r="J22" i="1"/>
  <c r="I22" i="1"/>
  <c r="E22" i="1"/>
  <c r="I11" i="1"/>
  <c r="M11" i="1"/>
  <c r="E11" i="1"/>
  <c r="G132" i="3"/>
  <c r="F132" i="3"/>
  <c r="G121" i="3"/>
  <c r="F121" i="3"/>
  <c r="G110" i="3"/>
  <c r="F110" i="3"/>
  <c r="G99" i="3"/>
  <c r="F99" i="3"/>
  <c r="G88" i="3"/>
  <c r="F88" i="3"/>
  <c r="G77" i="3"/>
  <c r="F77" i="3"/>
  <c r="G66" i="3"/>
  <c r="F66" i="3"/>
  <c r="G55" i="3"/>
  <c r="F55" i="3"/>
  <c r="G44" i="3"/>
  <c r="F44" i="3"/>
  <c r="G33" i="3"/>
  <c r="F33" i="3"/>
  <c r="G22" i="3"/>
  <c r="F22" i="3"/>
  <c r="G11" i="3"/>
  <c r="F11" i="3"/>
  <c r="G143" i="3"/>
  <c r="F143" i="3"/>
  <c r="B121" i="3"/>
  <c r="B143" i="3"/>
  <c r="B132" i="3"/>
  <c r="B110" i="3"/>
  <c r="B99" i="3"/>
  <c r="B88" i="3"/>
  <c r="B77" i="3"/>
  <c r="B66" i="3"/>
  <c r="B55" i="3"/>
  <c r="B44" i="3"/>
  <c r="B33" i="3"/>
  <c r="B22" i="3"/>
  <c r="B11" i="3"/>
  <c r="N33" i="2"/>
  <c r="N44" i="2" s="1"/>
  <c r="M33" i="2"/>
  <c r="L33" i="2"/>
  <c r="K33" i="2"/>
  <c r="J33" i="2"/>
  <c r="J44" i="2" s="1"/>
  <c r="I33" i="2"/>
  <c r="H33" i="2"/>
  <c r="G33" i="2"/>
  <c r="F33" i="2"/>
  <c r="F44" i="2" s="1"/>
  <c r="E33" i="2"/>
  <c r="D33" i="2"/>
  <c r="C33" i="2"/>
  <c r="B33" i="2"/>
  <c r="O33" i="2" s="1"/>
  <c r="N12" i="2"/>
  <c r="M12" i="2"/>
  <c r="M23" i="2" s="1"/>
  <c r="L12" i="2"/>
  <c r="K12" i="2"/>
  <c r="K23" i="2" s="1"/>
  <c r="J12" i="2"/>
  <c r="I12" i="2"/>
  <c r="H12" i="2"/>
  <c r="G12" i="2"/>
  <c r="G23" i="2" s="1"/>
  <c r="F12" i="2"/>
  <c r="E12" i="2"/>
  <c r="D12" i="2"/>
  <c r="C12" i="2"/>
  <c r="C23" i="2" s="1"/>
  <c r="B12" i="2"/>
  <c r="A33" i="2"/>
  <c r="A12" i="2"/>
  <c r="B143" i="1"/>
  <c r="B132" i="1"/>
  <c r="B121" i="1"/>
  <c r="B110" i="1"/>
  <c r="B99" i="1"/>
  <c r="B88" i="1"/>
  <c r="B77" i="1"/>
  <c r="B66" i="1"/>
  <c r="B55" i="1"/>
  <c r="B44" i="1"/>
  <c r="B33" i="1"/>
  <c r="B22" i="1"/>
  <c r="B11" i="1"/>
  <c r="G143" i="4"/>
  <c r="H143" i="4" s="1"/>
  <c r="F143" i="4"/>
  <c r="G132" i="4"/>
  <c r="H132" i="4" s="1"/>
  <c r="F132" i="4"/>
  <c r="G121" i="4"/>
  <c r="H121" i="4" s="1"/>
  <c r="F121" i="4"/>
  <c r="G110" i="4"/>
  <c r="H110" i="4" s="1"/>
  <c r="F110" i="4"/>
  <c r="G99" i="4"/>
  <c r="H99" i="4"/>
  <c r="F99" i="4"/>
  <c r="G88" i="4"/>
  <c r="H88" i="4" s="1"/>
  <c r="F88" i="4"/>
  <c r="G77" i="4"/>
  <c r="H77" i="4" s="1"/>
  <c r="F77" i="4"/>
  <c r="G66" i="4"/>
  <c r="H66" i="4" s="1"/>
  <c r="F66" i="4"/>
  <c r="G55" i="4"/>
  <c r="H55" i="4" s="1"/>
  <c r="F55" i="4"/>
  <c r="G44" i="4"/>
  <c r="H44" i="4" s="1"/>
  <c r="F44" i="4"/>
  <c r="G33" i="4"/>
  <c r="H33" i="4"/>
  <c r="F33" i="4"/>
  <c r="H22" i="4"/>
  <c r="G22" i="4"/>
  <c r="F22" i="4"/>
  <c r="G11" i="4"/>
  <c r="H11" i="4"/>
  <c r="F11" i="4"/>
  <c r="B143" i="4"/>
  <c r="B132" i="4"/>
  <c r="B121" i="4"/>
  <c r="B110" i="4"/>
  <c r="B99" i="4"/>
  <c r="B88" i="4"/>
  <c r="B77" i="4"/>
  <c r="B66" i="4"/>
  <c r="B55" i="4"/>
  <c r="B44" i="4"/>
  <c r="B33" i="4"/>
  <c r="B22" i="4"/>
  <c r="B11" i="4"/>
  <c r="G132" i="5"/>
  <c r="H132" i="5"/>
  <c r="G131" i="5"/>
  <c r="H131" i="5" s="1"/>
  <c r="B143" i="5"/>
  <c r="B132" i="5"/>
  <c r="B121" i="5"/>
  <c r="B110" i="5"/>
  <c r="B99" i="5"/>
  <c r="B88" i="5"/>
  <c r="B77" i="5"/>
  <c r="B66" i="5"/>
  <c r="B55" i="5"/>
  <c r="B44" i="5"/>
  <c r="B33" i="5"/>
  <c r="B22" i="5"/>
  <c r="B11" i="5"/>
  <c r="G142" i="3"/>
  <c r="F142" i="3"/>
  <c r="G131" i="3"/>
  <c r="F131" i="3"/>
  <c r="G120" i="3"/>
  <c r="F120" i="3"/>
  <c r="G109" i="3"/>
  <c r="F109" i="3"/>
  <c r="G98" i="3"/>
  <c r="F98" i="3"/>
  <c r="G87" i="3"/>
  <c r="F87" i="3"/>
  <c r="G76" i="3"/>
  <c r="F76" i="3"/>
  <c r="G65" i="3"/>
  <c r="F65" i="3"/>
  <c r="G54" i="3"/>
  <c r="F54" i="3"/>
  <c r="G43" i="3"/>
  <c r="F43" i="3"/>
  <c r="G32" i="3"/>
  <c r="F32" i="3"/>
  <c r="G21" i="3"/>
  <c r="F21" i="3"/>
  <c r="G10" i="3"/>
  <c r="F10" i="3"/>
  <c r="B142" i="3"/>
  <c r="B131" i="3"/>
  <c r="B120" i="3"/>
  <c r="B109" i="3"/>
  <c r="B98" i="3"/>
  <c r="B87" i="3"/>
  <c r="B76" i="3"/>
  <c r="B65" i="3"/>
  <c r="B54" i="3"/>
  <c r="B43" i="3"/>
  <c r="B32" i="3"/>
  <c r="B21" i="3"/>
  <c r="B10" i="3"/>
  <c r="N32" i="2"/>
  <c r="M32" i="2"/>
  <c r="L32" i="2"/>
  <c r="K32" i="2"/>
  <c r="J32" i="2"/>
  <c r="I32" i="2"/>
  <c r="I44" i="2" s="1"/>
  <c r="H32" i="2"/>
  <c r="G32" i="2"/>
  <c r="F32" i="2"/>
  <c r="E32" i="2"/>
  <c r="D32" i="2"/>
  <c r="C32" i="2"/>
  <c r="O32" i="2" s="1"/>
  <c r="B32" i="2"/>
  <c r="N11" i="2"/>
  <c r="M11" i="2"/>
  <c r="L11" i="2"/>
  <c r="K11" i="2"/>
  <c r="J11" i="2"/>
  <c r="I11" i="2"/>
  <c r="H11" i="2"/>
  <c r="O11" i="2" s="1"/>
  <c r="G11" i="2"/>
  <c r="F11" i="2"/>
  <c r="E11" i="2"/>
  <c r="D11" i="2"/>
  <c r="D23" i="2" s="1"/>
  <c r="C11" i="2"/>
  <c r="B11" i="2"/>
  <c r="B10" i="2"/>
  <c r="A32" i="2"/>
  <c r="A11" i="2"/>
  <c r="M142" i="1"/>
  <c r="I142" i="1"/>
  <c r="E142" i="1"/>
  <c r="G142" i="1"/>
  <c r="F142" i="1"/>
  <c r="H142" i="1" s="1"/>
  <c r="M131" i="1"/>
  <c r="I131" i="1"/>
  <c r="E131" i="1"/>
  <c r="G131" i="1"/>
  <c r="H131" i="1" s="1"/>
  <c r="M120" i="1"/>
  <c r="J120" i="1"/>
  <c r="I120" i="1"/>
  <c r="H120" i="1"/>
  <c r="E120" i="1"/>
  <c r="G120" i="1"/>
  <c r="F120" i="1"/>
  <c r="M109" i="1"/>
  <c r="I109" i="1"/>
  <c r="E109" i="1"/>
  <c r="G109" i="1"/>
  <c r="F109" i="1"/>
  <c r="J109" i="1" s="1"/>
  <c r="M98" i="1"/>
  <c r="J98" i="1"/>
  <c r="I98" i="1"/>
  <c r="E98" i="1"/>
  <c r="G98" i="1"/>
  <c r="H98" i="1" s="1"/>
  <c r="F98" i="1"/>
  <c r="M87" i="1"/>
  <c r="I87" i="1"/>
  <c r="E87" i="1"/>
  <c r="G87" i="1"/>
  <c r="F87" i="1"/>
  <c r="J87" i="1" s="1"/>
  <c r="M76" i="1"/>
  <c r="J76" i="1"/>
  <c r="I76" i="1"/>
  <c r="H76" i="1"/>
  <c r="E76" i="1"/>
  <c r="G76" i="1"/>
  <c r="F76" i="1"/>
  <c r="M65" i="1"/>
  <c r="I65" i="1"/>
  <c r="E65" i="1"/>
  <c r="G65" i="1"/>
  <c r="F65" i="1"/>
  <c r="J65" i="1" s="1"/>
  <c r="M54" i="1"/>
  <c r="J54" i="1"/>
  <c r="I54" i="1"/>
  <c r="E54" i="1"/>
  <c r="G54" i="1"/>
  <c r="H54" i="1" s="1"/>
  <c r="F54" i="1"/>
  <c r="M43" i="1"/>
  <c r="I43" i="1"/>
  <c r="E43" i="1"/>
  <c r="G43" i="1"/>
  <c r="F43" i="1"/>
  <c r="H43" i="1" s="1"/>
  <c r="M32" i="1"/>
  <c r="J32" i="1"/>
  <c r="I32" i="1"/>
  <c r="E32" i="1"/>
  <c r="G32" i="1"/>
  <c r="H32" i="1" s="1"/>
  <c r="F32" i="1"/>
  <c r="M21" i="1"/>
  <c r="I21" i="1"/>
  <c r="E21" i="1"/>
  <c r="G21" i="1"/>
  <c r="F21" i="1"/>
  <c r="J21" i="1" s="1"/>
  <c r="M10" i="1"/>
  <c r="I10" i="1"/>
  <c r="E10" i="1"/>
  <c r="G10" i="1"/>
  <c r="H10" i="1" s="1"/>
  <c r="B142" i="1"/>
  <c r="B131" i="1"/>
  <c r="B120" i="1"/>
  <c r="B109" i="1"/>
  <c r="B98" i="1"/>
  <c r="B87" i="1"/>
  <c r="B76" i="1"/>
  <c r="B65" i="1"/>
  <c r="B54" i="1"/>
  <c r="B43" i="1"/>
  <c r="B32" i="1"/>
  <c r="B21" i="1"/>
  <c r="B10" i="1"/>
  <c r="A31" i="2"/>
  <c r="A10" i="2"/>
  <c r="B142" i="4"/>
  <c r="B131" i="4"/>
  <c r="B120" i="4"/>
  <c r="B109" i="4"/>
  <c r="B98" i="4"/>
  <c r="B87" i="4"/>
  <c r="B76" i="4"/>
  <c r="B65" i="4"/>
  <c r="B54" i="4"/>
  <c r="B43" i="4"/>
  <c r="B32" i="4"/>
  <c r="B21" i="4"/>
  <c r="B10" i="4"/>
  <c r="B142" i="5"/>
  <c r="B131" i="5"/>
  <c r="B120" i="5"/>
  <c r="B109" i="5"/>
  <c r="B98" i="5"/>
  <c r="B87" i="5"/>
  <c r="B76" i="5"/>
  <c r="B65" i="5"/>
  <c r="B54" i="5"/>
  <c r="B43" i="5"/>
  <c r="B32" i="5"/>
  <c r="B21" i="5"/>
  <c r="B10" i="5"/>
  <c r="B141" i="3"/>
  <c r="B130" i="3"/>
  <c r="B119" i="3"/>
  <c r="B108" i="3"/>
  <c r="B97" i="3"/>
  <c r="B86" i="3"/>
  <c r="B75" i="3"/>
  <c r="B64" i="3"/>
  <c r="B53" i="3"/>
  <c r="B42" i="3"/>
  <c r="B31" i="3"/>
  <c r="B20" i="3"/>
  <c r="B9" i="3"/>
  <c r="G141" i="1"/>
  <c r="G150" i="1" s="1"/>
  <c r="F141" i="1"/>
  <c r="F150" i="1" s="1"/>
  <c r="J141" i="1"/>
  <c r="G130" i="1"/>
  <c r="G139" i="1" s="1"/>
  <c r="F130" i="1"/>
  <c r="J130" i="1" s="1"/>
  <c r="G119" i="1"/>
  <c r="G128" i="1" s="1"/>
  <c r="F119" i="1"/>
  <c r="J119" i="1" s="1"/>
  <c r="G108" i="1"/>
  <c r="G117" i="1" s="1"/>
  <c r="F108" i="1"/>
  <c r="J108" i="1" s="1"/>
  <c r="G97" i="1"/>
  <c r="G106" i="1" s="1"/>
  <c r="F97" i="1"/>
  <c r="H97" i="1" s="1"/>
  <c r="G86" i="1"/>
  <c r="G95" i="1" s="1"/>
  <c r="F86" i="1"/>
  <c r="F95" i="1" s="1"/>
  <c r="G75" i="1"/>
  <c r="G84" i="1" s="1"/>
  <c r="F75" i="1"/>
  <c r="F84" i="1" s="1"/>
  <c r="G64" i="1"/>
  <c r="G73" i="1" s="1"/>
  <c r="F64" i="1"/>
  <c r="G53" i="1"/>
  <c r="H53" i="1" s="1"/>
  <c r="F53" i="1"/>
  <c r="F62" i="1" s="1"/>
  <c r="G42" i="1"/>
  <c r="G51" i="1" s="1"/>
  <c r="F42" i="1"/>
  <c r="F51" i="1" s="1"/>
  <c r="G31" i="1"/>
  <c r="H31" i="1" s="1"/>
  <c r="F31" i="1"/>
  <c r="F40" i="1" s="1"/>
  <c r="G20" i="1"/>
  <c r="G29" i="1" s="1"/>
  <c r="F20" i="1"/>
  <c r="G9" i="1"/>
  <c r="G18" i="1" s="1"/>
  <c r="F9" i="1"/>
  <c r="B141" i="1"/>
  <c r="B130" i="1"/>
  <c r="B119" i="1"/>
  <c r="B108" i="1"/>
  <c r="B97" i="1"/>
  <c r="B86" i="1"/>
  <c r="B75" i="1"/>
  <c r="B64" i="1"/>
  <c r="B53" i="1"/>
  <c r="B42" i="1"/>
  <c r="B31" i="1"/>
  <c r="B20" i="1"/>
  <c r="B9" i="1"/>
  <c r="J86" i="1"/>
  <c r="J31" i="1"/>
  <c r="J20" i="1"/>
  <c r="E151" i="5"/>
  <c r="D151" i="5"/>
  <c r="C151" i="5"/>
  <c r="C153" i="5" s="1"/>
  <c r="E140" i="5"/>
  <c r="D140" i="5"/>
  <c r="C140" i="5"/>
  <c r="G140" i="5"/>
  <c r="H140" i="5" s="1"/>
  <c r="E129" i="5"/>
  <c r="D129" i="5"/>
  <c r="C129" i="5"/>
  <c r="E118" i="5"/>
  <c r="D118" i="5"/>
  <c r="C118" i="5"/>
  <c r="E107" i="5"/>
  <c r="E153" i="5" s="1"/>
  <c r="D107" i="5"/>
  <c r="C107" i="5"/>
  <c r="E96" i="5"/>
  <c r="D96" i="5"/>
  <c r="F96" i="5" s="1"/>
  <c r="C96" i="5"/>
  <c r="E85" i="5"/>
  <c r="D85" i="5"/>
  <c r="C85" i="5"/>
  <c r="E74" i="5"/>
  <c r="D74" i="5"/>
  <c r="C74" i="5"/>
  <c r="E63" i="5"/>
  <c r="D63" i="5"/>
  <c r="C63" i="5"/>
  <c r="E52" i="5"/>
  <c r="D52" i="5"/>
  <c r="D153" i="5" s="1"/>
  <c r="C52" i="5"/>
  <c r="E41" i="5"/>
  <c r="D41" i="5"/>
  <c r="C41" i="5"/>
  <c r="E30" i="5"/>
  <c r="D30" i="5"/>
  <c r="C30" i="5"/>
  <c r="E19" i="5"/>
  <c r="D19" i="5"/>
  <c r="C19" i="5"/>
  <c r="G19" i="5" s="1"/>
  <c r="H19" i="5" s="1"/>
  <c r="L51" i="1"/>
  <c r="F65" i="4"/>
  <c r="F64" i="3"/>
  <c r="M64" i="1"/>
  <c r="E64" i="1"/>
  <c r="F142" i="4"/>
  <c r="F141" i="3"/>
  <c r="G31" i="2"/>
  <c r="G44" i="2" s="1"/>
  <c r="G10" i="2"/>
  <c r="M141" i="1"/>
  <c r="E141" i="1"/>
  <c r="E74" i="4"/>
  <c r="D74" i="4"/>
  <c r="F74" i="4" s="1"/>
  <c r="C74" i="4"/>
  <c r="G74" i="4"/>
  <c r="H74" i="4" s="1"/>
  <c r="G65" i="4"/>
  <c r="H65" i="4" s="1"/>
  <c r="E73" i="3"/>
  <c r="D73" i="3"/>
  <c r="F73" i="3" s="1"/>
  <c r="C73" i="3"/>
  <c r="G64" i="3"/>
  <c r="L73" i="1"/>
  <c r="D73" i="1"/>
  <c r="C73" i="1"/>
  <c r="E73" i="1" s="1"/>
  <c r="I64" i="1"/>
  <c r="G142" i="4"/>
  <c r="H142" i="4" s="1"/>
  <c r="G141" i="3"/>
  <c r="I141" i="1"/>
  <c r="D18" i="1"/>
  <c r="D29" i="1"/>
  <c r="D40" i="1"/>
  <c r="E40" i="1" s="1"/>
  <c r="D51" i="1"/>
  <c r="E51" i="1"/>
  <c r="D62" i="1"/>
  <c r="E62" i="1"/>
  <c r="D84" i="1"/>
  <c r="D95" i="1"/>
  <c r="D106" i="1"/>
  <c r="D117" i="1"/>
  <c r="E117" i="1"/>
  <c r="D128" i="1"/>
  <c r="E128" i="1"/>
  <c r="D139" i="1"/>
  <c r="D150" i="1"/>
  <c r="E150" i="1" s="1"/>
  <c r="C150" i="1"/>
  <c r="C151" i="4"/>
  <c r="G151" i="4" s="1"/>
  <c r="H151" i="4" s="1"/>
  <c r="D151" i="4"/>
  <c r="F151" i="4" s="1"/>
  <c r="C150" i="3"/>
  <c r="D150" i="3"/>
  <c r="E19" i="4"/>
  <c r="E30" i="4"/>
  <c r="E41" i="4"/>
  <c r="E52" i="4"/>
  <c r="E63" i="4"/>
  <c r="F63" i="4"/>
  <c r="E85" i="4"/>
  <c r="E96" i="4"/>
  <c r="F96" i="4" s="1"/>
  <c r="E107" i="4"/>
  <c r="E118" i="4"/>
  <c r="E129" i="4"/>
  <c r="E140" i="4"/>
  <c r="E151" i="4"/>
  <c r="E153" i="4" s="1"/>
  <c r="D19" i="4"/>
  <c r="G19" i="4" s="1"/>
  <c r="H19" i="4" s="1"/>
  <c r="D30" i="4"/>
  <c r="G30" i="4" s="1"/>
  <c r="H30" i="4" s="1"/>
  <c r="D41" i="4"/>
  <c r="F41" i="4" s="1"/>
  <c r="D52" i="4"/>
  <c r="F52" i="4" s="1"/>
  <c r="D63" i="4"/>
  <c r="G63" i="4" s="1"/>
  <c r="H63" i="4" s="1"/>
  <c r="D85" i="4"/>
  <c r="F85" i="4" s="1"/>
  <c r="D96" i="4"/>
  <c r="G96" i="4"/>
  <c r="H96" i="4" s="1"/>
  <c r="D107" i="4"/>
  <c r="G107" i="4" s="1"/>
  <c r="H107" i="4" s="1"/>
  <c r="D118" i="4"/>
  <c r="D129" i="4"/>
  <c r="F129" i="4" s="1"/>
  <c r="D140" i="4"/>
  <c r="C19" i="4"/>
  <c r="C30" i="4"/>
  <c r="C41" i="4"/>
  <c r="G41" i="4"/>
  <c r="H41" i="4" s="1"/>
  <c r="C52" i="4"/>
  <c r="C63" i="4"/>
  <c r="C85" i="4"/>
  <c r="C96" i="4"/>
  <c r="C107" i="4"/>
  <c r="C118" i="4"/>
  <c r="C129" i="4"/>
  <c r="C140" i="4"/>
  <c r="F109" i="4"/>
  <c r="E18" i="3"/>
  <c r="E29" i="3"/>
  <c r="F29" i="3" s="1"/>
  <c r="E40" i="3"/>
  <c r="E51" i="3"/>
  <c r="E62" i="3"/>
  <c r="E84" i="3"/>
  <c r="E95" i="3"/>
  <c r="E106" i="3"/>
  <c r="F106" i="3"/>
  <c r="E117" i="3"/>
  <c r="E128" i="3"/>
  <c r="E139" i="3"/>
  <c r="E150" i="3"/>
  <c r="F150" i="3" s="1"/>
  <c r="D18" i="3"/>
  <c r="D29" i="3"/>
  <c r="D40" i="3"/>
  <c r="G40" i="3" s="1"/>
  <c r="D51" i="3"/>
  <c r="F51" i="3" s="1"/>
  <c r="D62" i="3"/>
  <c r="D84" i="3"/>
  <c r="F84" i="3" s="1"/>
  <c r="D95" i="3"/>
  <c r="G95" i="3" s="1"/>
  <c r="D106" i="3"/>
  <c r="G106" i="3"/>
  <c r="D117" i="3"/>
  <c r="D128" i="3"/>
  <c r="F128" i="3" s="1"/>
  <c r="D139" i="3"/>
  <c r="C18" i="3"/>
  <c r="C29" i="3"/>
  <c r="C40" i="3"/>
  <c r="C51" i="3"/>
  <c r="C62" i="3"/>
  <c r="G62" i="3" s="1"/>
  <c r="C84" i="3"/>
  <c r="C95" i="3"/>
  <c r="C106" i="3"/>
  <c r="C117" i="3"/>
  <c r="G117" i="3"/>
  <c r="C128" i="3"/>
  <c r="C139" i="3"/>
  <c r="C152" i="3" s="1"/>
  <c r="F108" i="3"/>
  <c r="M108" i="1"/>
  <c r="E108" i="1"/>
  <c r="L18" i="1"/>
  <c r="L29" i="1"/>
  <c r="M29" i="1"/>
  <c r="L40" i="1"/>
  <c r="L62" i="1"/>
  <c r="M62" i="1" s="1"/>
  <c r="L84" i="1"/>
  <c r="L95" i="1"/>
  <c r="L106" i="1"/>
  <c r="M106" i="1" s="1"/>
  <c r="L117" i="1"/>
  <c r="L128" i="1"/>
  <c r="L139" i="1"/>
  <c r="K18" i="1"/>
  <c r="M18" i="1"/>
  <c r="K29" i="1"/>
  <c r="C18" i="1"/>
  <c r="E18" i="1" s="1"/>
  <c r="C29" i="1"/>
  <c r="I29" i="1" s="1"/>
  <c r="C40" i="1"/>
  <c r="C51" i="1"/>
  <c r="C62" i="1"/>
  <c r="C84" i="1"/>
  <c r="C152" i="1" s="1"/>
  <c r="C95" i="1"/>
  <c r="I95" i="1"/>
  <c r="C106" i="1"/>
  <c r="E106" i="1"/>
  <c r="C117" i="1"/>
  <c r="C128" i="1"/>
  <c r="C139" i="1"/>
  <c r="E119" i="1"/>
  <c r="I119" i="1"/>
  <c r="M119" i="1"/>
  <c r="K117" i="1"/>
  <c r="M117" i="1"/>
  <c r="F131" i="4"/>
  <c r="K31" i="2"/>
  <c r="K44" i="2" s="1"/>
  <c r="K10" i="2"/>
  <c r="K51" i="1"/>
  <c r="I51" i="1" s="1"/>
  <c r="K62" i="1"/>
  <c r="K84" i="1"/>
  <c r="M84" i="1" s="1"/>
  <c r="K95" i="1"/>
  <c r="M95" i="1" s="1"/>
  <c r="K106" i="1"/>
  <c r="K139" i="1"/>
  <c r="M139" i="1" s="1"/>
  <c r="I108" i="1"/>
  <c r="G109" i="4"/>
  <c r="H109" i="4"/>
  <c r="G108" i="3"/>
  <c r="F87" i="4"/>
  <c r="F86" i="3"/>
  <c r="N31" i="2"/>
  <c r="M31" i="2"/>
  <c r="L31" i="2"/>
  <c r="L44" i="2" s="1"/>
  <c r="J31" i="2"/>
  <c r="I31" i="2"/>
  <c r="H31" i="2"/>
  <c r="H44" i="2"/>
  <c r="F31" i="2"/>
  <c r="E31" i="2"/>
  <c r="E44" i="2" s="1"/>
  <c r="C31" i="2"/>
  <c r="B31" i="2"/>
  <c r="O31" i="2" s="1"/>
  <c r="M86" i="1"/>
  <c r="E86" i="1"/>
  <c r="I10" i="2"/>
  <c r="G87" i="4"/>
  <c r="H87" i="4" s="1"/>
  <c r="G98" i="4"/>
  <c r="H98" i="4" s="1"/>
  <c r="F98" i="4"/>
  <c r="G86" i="3"/>
  <c r="I86" i="1"/>
  <c r="F10" i="4"/>
  <c r="G10" i="4"/>
  <c r="H10" i="4" s="1"/>
  <c r="I9" i="1"/>
  <c r="I20" i="1"/>
  <c r="I42" i="1"/>
  <c r="I53" i="1"/>
  <c r="I75" i="1"/>
  <c r="I97" i="1"/>
  <c r="I130" i="1"/>
  <c r="E9" i="1"/>
  <c r="M9" i="1"/>
  <c r="E20" i="1"/>
  <c r="M20" i="1"/>
  <c r="E31" i="1"/>
  <c r="E42" i="1"/>
  <c r="M42" i="1"/>
  <c r="E53" i="1"/>
  <c r="M53" i="1"/>
  <c r="E75" i="1"/>
  <c r="M75" i="1"/>
  <c r="E97" i="1"/>
  <c r="M97" i="1"/>
  <c r="E130" i="1"/>
  <c r="M130" i="1"/>
  <c r="F21" i="4"/>
  <c r="G21" i="4"/>
  <c r="H21" i="4"/>
  <c r="F32" i="4"/>
  <c r="G32" i="4"/>
  <c r="H32" i="4" s="1"/>
  <c r="F43" i="4"/>
  <c r="G43" i="4"/>
  <c r="H43" i="4"/>
  <c r="F54" i="4"/>
  <c r="G54" i="4"/>
  <c r="H54" i="4" s="1"/>
  <c r="F76" i="4"/>
  <c r="G76" i="4"/>
  <c r="H76" i="4"/>
  <c r="F120" i="4"/>
  <c r="G120" i="4"/>
  <c r="H120" i="4" s="1"/>
  <c r="G131" i="4"/>
  <c r="H131" i="4" s="1"/>
  <c r="F9" i="3"/>
  <c r="F20" i="3"/>
  <c r="G20" i="3"/>
  <c r="F31" i="3"/>
  <c r="G31" i="3"/>
  <c r="F42" i="3"/>
  <c r="G42" i="3"/>
  <c r="F53" i="3"/>
  <c r="G53" i="3"/>
  <c r="F75" i="3"/>
  <c r="G75" i="3"/>
  <c r="F97" i="3"/>
  <c r="G97" i="3"/>
  <c r="F119" i="3"/>
  <c r="G119" i="3"/>
  <c r="F130" i="3"/>
  <c r="G130" i="3"/>
  <c r="G9" i="3"/>
  <c r="C10" i="2"/>
  <c r="O10" i="2" s="1"/>
  <c r="D10" i="2"/>
  <c r="E10" i="2"/>
  <c r="E23" i="2" s="1"/>
  <c r="F10" i="2"/>
  <c r="H10" i="2"/>
  <c r="J10" i="2"/>
  <c r="L10" i="2"/>
  <c r="L23" i="2" s="1"/>
  <c r="M10" i="2"/>
  <c r="N10" i="2"/>
  <c r="N23" i="2" s="1"/>
  <c r="I31" i="1"/>
  <c r="M31" i="1"/>
  <c r="K40" i="1"/>
  <c r="D31" i="2"/>
  <c r="L150" i="1"/>
  <c r="M150" i="1"/>
  <c r="K150" i="1"/>
  <c r="K152" i="1" s="1"/>
  <c r="K73" i="1"/>
  <c r="I73" i="1" s="1"/>
  <c r="K128" i="1"/>
  <c r="M128" i="1" s="1"/>
  <c r="H75" i="1"/>
  <c r="H130" i="1"/>
  <c r="H141" i="1"/>
  <c r="J9" i="1"/>
  <c r="J64" i="1"/>
  <c r="J42" i="1"/>
  <c r="H108" i="1"/>
  <c r="H9" i="1"/>
  <c r="H20" i="1"/>
  <c r="H86" i="1"/>
  <c r="J53" i="1"/>
  <c r="J88" i="1"/>
  <c r="G118" i="4"/>
  <c r="H118" i="4"/>
  <c r="F18" i="3"/>
  <c r="J79" i="1"/>
  <c r="F117" i="3"/>
  <c r="J25" i="1"/>
  <c r="F29" i="1"/>
  <c r="H124" i="1"/>
  <c r="I154" i="1"/>
  <c r="I117" i="1"/>
  <c r="E95" i="1"/>
  <c r="F155" i="4"/>
  <c r="H16" i="1"/>
  <c r="F140" i="4"/>
  <c r="G140" i="4"/>
  <c r="H140" i="4"/>
  <c r="F118" i="4"/>
  <c r="F107" i="4"/>
  <c r="G52" i="4"/>
  <c r="H52" i="4" s="1"/>
  <c r="F30" i="4"/>
  <c r="C153" i="4"/>
  <c r="G150" i="3"/>
  <c r="F139" i="3"/>
  <c r="G128" i="3"/>
  <c r="G84" i="3"/>
  <c r="F62" i="3"/>
  <c r="F40" i="3"/>
  <c r="G29" i="3"/>
  <c r="G18" i="3"/>
  <c r="O17" i="2"/>
  <c r="M40" i="1"/>
  <c r="I150" i="1"/>
  <c r="I139" i="1"/>
  <c r="E139" i="1"/>
  <c r="I106" i="1"/>
  <c r="I84" i="1"/>
  <c r="M73" i="1"/>
  <c r="I62" i="1"/>
  <c r="I40" i="1"/>
  <c r="L152" i="1"/>
  <c r="J29" i="1"/>
  <c r="F23" i="2"/>
  <c r="J23" i="2"/>
  <c r="B44" i="2"/>
  <c r="O37" i="2"/>
  <c r="M44" i="2"/>
  <c r="D44" i="2"/>
  <c r="O14" i="2"/>
  <c r="I23" i="2"/>
  <c r="J62" i="1" l="1"/>
  <c r="O44" i="2"/>
  <c r="H84" i="1"/>
  <c r="H150" i="1"/>
  <c r="J150" i="1"/>
  <c r="I152" i="1"/>
  <c r="M152" i="1"/>
  <c r="J95" i="1"/>
  <c r="H95" i="1"/>
  <c r="F153" i="5"/>
  <c r="G153" i="5"/>
  <c r="H153" i="5" s="1"/>
  <c r="H40" i="1"/>
  <c r="J40" i="1"/>
  <c r="H29" i="1"/>
  <c r="O23" i="2"/>
  <c r="H51" i="1"/>
  <c r="C44" i="2"/>
  <c r="D153" i="4"/>
  <c r="G129" i="4"/>
  <c r="H129" i="4" s="1"/>
  <c r="F95" i="3"/>
  <c r="H64" i="1"/>
  <c r="G73" i="3"/>
  <c r="J97" i="1"/>
  <c r="J43" i="1"/>
  <c r="H65" i="1"/>
  <c r="J142" i="1"/>
  <c r="H143" i="1"/>
  <c r="H110" i="1"/>
  <c r="H47" i="1"/>
  <c r="H102" i="1"/>
  <c r="G40" i="1"/>
  <c r="F106" i="1"/>
  <c r="J46" i="1"/>
  <c r="F73" i="1"/>
  <c r="J123" i="1"/>
  <c r="J125" i="1"/>
  <c r="F154" i="1"/>
  <c r="J49" i="1"/>
  <c r="D152" i="1"/>
  <c r="E152" i="1" s="1"/>
  <c r="J67" i="1"/>
  <c r="J84" i="1"/>
  <c r="D152" i="3"/>
  <c r="I128" i="1"/>
  <c r="G85" i="4"/>
  <c r="H85" i="4" s="1"/>
  <c r="F19" i="4"/>
  <c r="J75" i="1"/>
  <c r="H87" i="1"/>
  <c r="J77" i="1"/>
  <c r="H121" i="1"/>
  <c r="J37" i="1"/>
  <c r="M51" i="1"/>
  <c r="J89" i="1"/>
  <c r="J145" i="1"/>
  <c r="J14" i="1"/>
  <c r="F117" i="1"/>
  <c r="J71" i="1"/>
  <c r="J104" i="1"/>
  <c r="O12" i="2"/>
  <c r="J51" i="1"/>
  <c r="H80" i="1"/>
  <c r="H42" i="1"/>
  <c r="H109" i="1"/>
  <c r="J147" i="1"/>
  <c r="H23" i="2"/>
  <c r="F128" i="1"/>
  <c r="H128" i="1" s="1"/>
  <c r="J34" i="1"/>
  <c r="E29" i="1"/>
  <c r="E152" i="3"/>
  <c r="G51" i="3"/>
  <c r="E84" i="1"/>
  <c r="J111" i="1"/>
  <c r="G62" i="1"/>
  <c r="G152" i="1" s="1"/>
  <c r="J59" i="1"/>
  <c r="F139" i="1"/>
  <c r="J11" i="1"/>
  <c r="J58" i="1"/>
  <c r="O13" i="2"/>
  <c r="I18" i="1"/>
  <c r="H99" i="1"/>
  <c r="H119" i="1"/>
  <c r="H21" i="1"/>
  <c r="G139" i="3"/>
  <c r="F18" i="1"/>
  <c r="J139" i="1" l="1"/>
  <c r="H139" i="1"/>
  <c r="F152" i="1"/>
  <c r="H62" i="1"/>
  <c r="H106" i="1"/>
  <c r="J106" i="1"/>
  <c r="J128" i="1"/>
  <c r="J154" i="1"/>
  <c r="H154" i="1"/>
  <c r="J18" i="1"/>
  <c r="H18" i="1"/>
  <c r="H73" i="1"/>
  <c r="J73" i="1"/>
  <c r="J117" i="1"/>
  <c r="H117" i="1"/>
  <c r="G152" i="3"/>
  <c r="F152" i="3"/>
  <c r="G153" i="4"/>
  <c r="H153" i="4" s="1"/>
  <c r="F153" i="4"/>
  <c r="H152" i="1" l="1"/>
  <c r="J152" i="1"/>
</calcChain>
</file>

<file path=xl/sharedStrings.xml><?xml version="1.0" encoding="utf-8"?>
<sst xmlns="http://schemas.openxmlformats.org/spreadsheetml/2006/main" count="241" uniqueCount="79">
  <si>
    <t>MISSOURI GAMING COMMISSION</t>
  </si>
  <si>
    <t>CURR YR</t>
  </si>
  <si>
    <t>CURR</t>
  </si>
  <si>
    <t>PRIOR YR</t>
  </si>
  <si>
    <t>WIN PER</t>
  </si>
  <si>
    <t xml:space="preserve">BOAT </t>
  </si>
  <si>
    <t>YEAR</t>
  </si>
  <si>
    <t>ADMISSIONS</t>
  </si>
  <si>
    <t>% CHG</t>
  </si>
  <si>
    <t>PATRONS</t>
  </si>
  <si>
    <t>ADMISSION</t>
  </si>
  <si>
    <t>PATRON</t>
  </si>
  <si>
    <t>TOTAL AGR</t>
  </si>
  <si>
    <t>ARGOSY</t>
  </si>
  <si>
    <t xml:space="preserve">      TOTALS:</t>
  </si>
  <si>
    <t>IOC - BOONVILLE</t>
  </si>
  <si>
    <t xml:space="preserve">AMERISTAR KC </t>
  </si>
  <si>
    <t>AMERISTAR SC</t>
  </si>
  <si>
    <t>STATE TOTALS FYTD:</t>
  </si>
  <si>
    <t>STATE TOTALS MTD:</t>
  </si>
  <si>
    <t>NOTE:  1)    The figures in this report are subject to adjustment.</t>
  </si>
  <si>
    <t>FISCAL YTD ADMISSION FEES &amp; GAMING TAX BY LICENSED OPERATOR</t>
  </si>
  <si>
    <t>ADMISSIONS FEES</t>
  </si>
  <si>
    <t>STATE</t>
  </si>
  <si>
    <t>MONTH</t>
  </si>
  <si>
    <t>AMERISTAR KC</t>
  </si>
  <si>
    <t>TOTAL</t>
  </si>
  <si>
    <t>TOTALS</t>
  </si>
  <si>
    <t>GAMING TAX</t>
  </si>
  <si>
    <t>NOTE:  THE FIGURES IN THIS REPORT ARE SUBJECT TO ADJUSTMENT</t>
  </si>
  <si>
    <t xml:space="preserve">TABLE GAMES - FISCAL YTD  ANALYSIS OF HOLD % BY BOAT </t>
  </si>
  <si>
    <t>CURR YEAR</t>
  </si>
  <si>
    <t>ACTUAL</t>
  </si>
  <si>
    <t>TABLE DROP</t>
  </si>
  <si>
    <t>TABLE WIN</t>
  </si>
  <si>
    <t>HOLD %</t>
  </si>
  <si>
    <t>ARGOSY RIVERSIDE</t>
  </si>
  <si>
    <t xml:space="preserve">AMERISTAR SC </t>
  </si>
  <si>
    <t>STATE TOTALS FISCAL YTD:</t>
  </si>
  <si>
    <t>STATE TOTALS CURR MONTH:</t>
  </si>
  <si>
    <t>NOTE:  The figures in this report are subject to adjustment.</t>
  </si>
  <si>
    <t>ELECTRONIC GAMING DEVICES</t>
  </si>
  <si>
    <t xml:space="preserve">FISCAL YTD ANALYSIS OF HOLD &amp; PAYOUT % BY BOAT </t>
  </si>
  <si>
    <t>CURRENT YEAR</t>
  </si>
  <si>
    <t>SLOT</t>
  </si>
  <si>
    <t>HANDLE</t>
  </si>
  <si>
    <t>SLOT WIN</t>
  </si>
  <si>
    <t>PAYOUT %</t>
  </si>
  <si>
    <t xml:space="preserve">IOC - BOONVILLE </t>
  </si>
  <si>
    <t>NOTE:    The figures in this report are subject to adjustment.</t>
  </si>
  <si>
    <t>MARK TWAIN</t>
  </si>
  <si>
    <t xml:space="preserve">ST. JO </t>
  </si>
  <si>
    <t>LUMIERE PLACE</t>
  </si>
  <si>
    <t>RIVER CITY</t>
  </si>
  <si>
    <t xml:space="preserve">RIVER CITY </t>
  </si>
  <si>
    <t xml:space="preserve">MARK TWAIN </t>
  </si>
  <si>
    <t>HOLLYWOOD</t>
  </si>
  <si>
    <t>ST. JO FRONTIER</t>
  </si>
  <si>
    <t xml:space="preserve">ST. JO FRONTIER </t>
  </si>
  <si>
    <t xml:space="preserve">HOLLYWOOD </t>
  </si>
  <si>
    <t xml:space="preserve">LUMIERE PLACE </t>
  </si>
  <si>
    <t>HYBRID TABLES</t>
  </si>
  <si>
    <t>HARRAHS KC</t>
  </si>
  <si>
    <t xml:space="preserve">CENTURY- CAPE </t>
  </si>
  <si>
    <t>CENTURY-CARUTHERSVILLE</t>
  </si>
  <si>
    <t>CENTURY - CAPE</t>
  </si>
  <si>
    <t>CENTURY-CAPE</t>
  </si>
  <si>
    <t>HYBRID</t>
  </si>
  <si>
    <t>HYBRID WIN</t>
  </si>
  <si>
    <t xml:space="preserve">FISCAL 2022 YTD ADMISSIONS, PATRONS AND AGR SUMMARY </t>
  </si>
  <si>
    <t>BALLY'S KANSAS CITY</t>
  </si>
  <si>
    <t>BALLY'S KC</t>
  </si>
  <si>
    <t>MONTH ENDED:  FEBRUARY 28, 2022</t>
  </si>
  <si>
    <t>(as reported on the tax remittal database dtd 3/9/22)</t>
  </si>
  <si>
    <t>FOR THE MONTH ENDED:   FEBRUARY 28, 2022</t>
  </si>
  <si>
    <t>THRU MONTH ENDED:   FEBRUARY 28, 2022</t>
  </si>
  <si>
    <t>(as reported on the tax remittal database as of 3/9/22)</t>
  </si>
  <si>
    <t>THRU MONTH ENDED:    FEBRUARY 28, 2022</t>
  </si>
  <si>
    <t>THRU MONTH ENDED:     FEBRUARY 28,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</si>
</sst>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;[Red]\-General"/>
    <numFmt numFmtId="165" formatCode="0.000%"/>
    <numFmt numFmtId="166" formatCode="#,##0.00;[Red]\-#,##0.00"/>
    <numFmt numFmtId="167" formatCode="0.0%"/>
  </numFmts>
  <fonts count="17" x14ac:knownFonts="1">
    <font>
      <sz val="12"/>
      <name val="Arial"/>
    </font>
    <font>
      <b/>
      <sz val="10"/>
      <name val="Arial"/>
    </font>
    <font>
      <sz val="12"/>
      <name val="Arial"/>
    </font>
    <font>
      <b/>
      <sz val="14"/>
      <name val="Arial"/>
    </font>
    <font>
      <b/>
      <i/>
      <sz val="14"/>
      <name val="Arial"/>
    </font>
    <font>
      <b/>
      <sz val="11"/>
      <name val="Arial"/>
    </font>
    <font>
      <b/>
      <sz val="12"/>
      <name val="Arial"/>
    </font>
    <font>
      <b/>
      <u/>
      <sz val="12"/>
      <name val="Arial"/>
    </font>
    <font>
      <b/>
      <sz val="18"/>
      <name val="Arial"/>
    </font>
    <font>
      <b/>
      <i/>
      <u/>
      <sz val="14"/>
      <name val="Arial"/>
    </font>
    <font>
      <b/>
      <i/>
      <u/>
      <sz val="14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i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</fills>
  <borders count="22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/>
      <diagonal/>
    </border>
    <border>
      <left style="thin">
        <color indexed="8"/>
      </left>
      <right/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 style="thin">
        <color indexed="8"/>
      </left>
      <right/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/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n">
        <color indexed="8"/>
      </left>
      <right/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ck">
        <color indexed="8"/>
      </bottom>
      <diagonal/>
    </border>
  </borders>
  <cellStyleXfs count="4">
    <xf numFmtId="164" fontId="0" fillId="0" borderId="0"/>
    <xf numFmtId="0" fontId="2" fillId="0" borderId="0"/>
    <xf numFmtId="0" fontId="2" fillId="0" borderId="0"/>
    <xf numFmtId="0" fontId="2" fillId="0" borderId="0"/>
  </cellStyleXfs>
  <cellXfs count="291">
    <xf numFmtId="164" fontId="2" fillId="0" borderId="0" xfId="0" applyNumberFormat="1" applyFont="1" applyAlignment="1" applyProtection="1">
      <protection locked="0"/>
    </xf>
    <xf numFmtId="0" fontId="3" fillId="0" borderId="0" xfId="0" applyNumberFormat="1" applyFont="1" applyAlignment="1"/>
    <xf numFmtId="164" fontId="0" fillId="0" borderId="0" xfId="0" applyFont="1" applyAlignment="1"/>
    <xf numFmtId="164" fontId="0" fillId="0" borderId="0" xfId="0" applyNumberFormat="1" applyFont="1" applyAlignment="1" applyProtection="1">
      <protection locked="0"/>
    </xf>
    <xf numFmtId="0" fontId="4" fillId="0" borderId="0" xfId="0" applyNumberFormat="1" applyFont="1" applyAlignment="1"/>
    <xf numFmtId="164" fontId="1" fillId="0" borderId="0" xfId="0" applyFont="1" applyAlignment="1">
      <alignment horizontal="center"/>
    </xf>
    <xf numFmtId="164" fontId="0" fillId="2" borderId="1" xfId="0" applyFont="1" applyFill="1" applyBorder="1" applyAlignment="1"/>
    <xf numFmtId="164" fontId="5" fillId="2" borderId="2" xfId="0" applyFont="1" applyFill="1" applyBorder="1" applyAlignment="1">
      <alignment horizontal="center"/>
    </xf>
    <xf numFmtId="164" fontId="5" fillId="3" borderId="2" xfId="0" applyFont="1" applyFill="1" applyBorder="1" applyAlignment="1">
      <alignment horizontal="center"/>
    </xf>
    <xf numFmtId="164" fontId="5" fillId="3" borderId="3" xfId="0" applyFont="1" applyFill="1" applyBorder="1" applyAlignment="1">
      <alignment horizontal="center"/>
    </xf>
    <xf numFmtId="164" fontId="0" fillId="0" borderId="0" xfId="0" applyBorder="1"/>
    <xf numFmtId="164" fontId="6" fillId="2" borderId="4" xfId="0" applyFont="1" applyFill="1" applyBorder="1" applyAlignment="1">
      <alignment horizontal="center"/>
    </xf>
    <xf numFmtId="164" fontId="5" fillId="2" borderId="5" xfId="0" applyFont="1" applyFill="1" applyBorder="1" applyAlignment="1">
      <alignment horizontal="center"/>
    </xf>
    <xf numFmtId="164" fontId="0" fillId="3" borderId="5" xfId="0" applyFill="1" applyBorder="1" applyAlignment="1">
      <alignment horizontal="center"/>
    </xf>
    <xf numFmtId="164" fontId="5" fillId="3" borderId="6" xfId="0" applyFont="1" applyFill="1" applyBorder="1" applyAlignment="1">
      <alignment horizontal="center"/>
    </xf>
    <xf numFmtId="164" fontId="7" fillId="0" borderId="1" xfId="0" applyFont="1" applyBorder="1" applyAlignment="1">
      <alignment horizontal="center"/>
    </xf>
    <xf numFmtId="164" fontId="7" fillId="0" borderId="2" xfId="0" applyFont="1" applyBorder="1" applyAlignment="1">
      <alignment horizontal="center"/>
    </xf>
    <xf numFmtId="164" fontId="7" fillId="3" borderId="2" xfId="0" applyFont="1" applyFill="1" applyBorder="1" applyAlignment="1">
      <alignment horizontal="center"/>
    </xf>
    <xf numFmtId="164" fontId="7" fillId="3" borderId="3" xfId="0" applyFont="1" applyFill="1" applyBorder="1" applyAlignment="1">
      <alignment horizontal="center"/>
    </xf>
    <xf numFmtId="166" fontId="6" fillId="0" borderId="4" xfId="0" applyNumberFormat="1" applyFont="1" applyBorder="1" applyAlignment="1"/>
    <xf numFmtId="17" fontId="0" fillId="0" borderId="5" xfId="0" applyNumberFormat="1" applyFont="1" applyBorder="1" applyAlignment="1">
      <alignment horizontal="center"/>
    </xf>
    <xf numFmtId="3" fontId="0" fillId="0" borderId="5" xfId="0" applyNumberFormat="1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9" fontId="0" fillId="3" borderId="5" xfId="0" applyNumberFormat="1" applyFont="1" applyFill="1" applyBorder="1" applyAlignment="1">
      <alignment horizontal="center"/>
    </xf>
    <xf numFmtId="4" fontId="0" fillId="0" borderId="5" xfId="0" applyNumberFormat="1" applyFont="1" applyBorder="1" applyAlignment="1">
      <alignment horizontal="center"/>
    </xf>
    <xf numFmtId="9" fontId="0" fillId="3" borderId="6" xfId="0" applyNumberFormat="1" applyFont="1" applyFill="1" applyBorder="1" applyAlignment="1">
      <alignment horizontal="center"/>
    </xf>
    <xf numFmtId="166" fontId="6" fillId="2" borderId="1" xfId="0" applyNumberFormat="1" applyFont="1" applyFill="1" applyBorder="1" applyAlignment="1"/>
    <xf numFmtId="164" fontId="0" fillId="2" borderId="2" xfId="0" applyFont="1" applyFill="1" applyBorder="1" applyAlignment="1">
      <alignment horizontal="center"/>
    </xf>
    <xf numFmtId="3" fontId="6" fillId="2" borderId="2" xfId="0" applyNumberFormat="1" applyFont="1" applyFill="1" applyBorder="1" applyAlignment="1">
      <alignment horizontal="center"/>
    </xf>
    <xf numFmtId="9" fontId="0" fillId="3" borderId="2" xfId="0" applyNumberFormat="1" applyFont="1" applyFill="1" applyBorder="1" applyAlignment="1">
      <alignment horizontal="center"/>
    </xf>
    <xf numFmtId="9" fontId="6" fillId="3" borderId="2" xfId="0" applyNumberFormat="1" applyFont="1" applyFill="1" applyBorder="1" applyAlignment="1">
      <alignment horizontal="center"/>
    </xf>
    <xf numFmtId="4" fontId="6" fillId="2" borderId="2" xfId="0" applyNumberFormat="1" applyFont="1" applyFill="1" applyBorder="1" applyAlignment="1">
      <alignment horizontal="center"/>
    </xf>
    <xf numFmtId="9" fontId="6" fillId="3" borderId="3" xfId="0" applyNumberFormat="1" applyFont="1" applyFill="1" applyBorder="1" applyAlignment="1">
      <alignment horizontal="center"/>
    </xf>
    <xf numFmtId="166" fontId="6" fillId="0" borderId="1" xfId="0" applyNumberFormat="1" applyFont="1" applyBorder="1" applyAlignment="1"/>
    <xf numFmtId="164" fontId="0" fillId="0" borderId="2" xfId="0" applyFont="1" applyBorder="1" applyAlignment="1">
      <alignment horizontal="center"/>
    </xf>
    <xf numFmtId="3" fontId="0" fillId="0" borderId="2" xfId="0" applyNumberFormat="1" applyFont="1" applyBorder="1" applyAlignment="1">
      <alignment horizontal="center"/>
    </xf>
    <xf numFmtId="4" fontId="0" fillId="0" borderId="2" xfId="0" applyNumberFormat="1" applyFont="1" applyBorder="1" applyAlignment="1">
      <alignment horizontal="center"/>
    </xf>
    <xf numFmtId="9" fontId="0" fillId="3" borderId="3" xfId="0" applyNumberFormat="1" applyFont="1" applyFill="1" applyBorder="1" applyAlignment="1">
      <alignment horizontal="center"/>
    </xf>
    <xf numFmtId="166" fontId="0" fillId="0" borderId="4" xfId="0" applyNumberFormat="1" applyFont="1" applyBorder="1" applyAlignment="1"/>
    <xf numFmtId="166" fontId="6" fillId="2" borderId="7" xfId="0" applyNumberFormat="1" applyFont="1" applyFill="1" applyBorder="1" applyAlignment="1"/>
    <xf numFmtId="164" fontId="0" fillId="2" borderId="8" xfId="0" applyFont="1" applyFill="1" applyBorder="1" applyAlignment="1">
      <alignment horizontal="center"/>
    </xf>
    <xf numFmtId="3" fontId="6" fillId="2" borderId="8" xfId="0" applyNumberFormat="1" applyFont="1" applyFill="1" applyBorder="1" applyAlignment="1">
      <alignment horizontal="center"/>
    </xf>
    <xf numFmtId="9" fontId="6" fillId="3" borderId="8" xfId="0" applyNumberFormat="1" applyFont="1" applyFill="1" applyBorder="1" applyAlignment="1">
      <alignment horizontal="center"/>
    </xf>
    <xf numFmtId="4" fontId="6" fillId="2" borderId="8" xfId="0" applyNumberFormat="1" applyFont="1" applyFill="1" applyBorder="1" applyAlignment="1">
      <alignment horizontal="center"/>
    </xf>
    <xf numFmtId="9" fontId="6" fillId="3" borderId="9" xfId="0" applyNumberFormat="1" applyFont="1" applyFill="1" applyBorder="1" applyAlignment="1">
      <alignment horizontal="center"/>
    </xf>
    <xf numFmtId="164" fontId="0" fillId="0" borderId="5" xfId="0" applyFont="1" applyBorder="1" applyAlignment="1">
      <alignment horizontal="center"/>
    </xf>
    <xf numFmtId="9" fontId="0" fillId="3" borderId="10" xfId="0" applyNumberFormat="1" applyFont="1" applyFill="1" applyBorder="1" applyAlignment="1">
      <alignment horizontal="center"/>
    </xf>
    <xf numFmtId="3" fontId="6" fillId="2" borderId="11" xfId="0" applyNumberFormat="1" applyFont="1" applyFill="1" applyBorder="1" applyAlignment="1">
      <alignment horizontal="center"/>
    </xf>
    <xf numFmtId="3" fontId="6" fillId="2" borderId="10" xfId="0" applyNumberFormat="1" applyFont="1" applyFill="1" applyBorder="1" applyAlignment="1">
      <alignment horizontal="center"/>
    </xf>
    <xf numFmtId="9" fontId="6" fillId="3" borderId="11" xfId="0" applyNumberFormat="1" applyFont="1" applyFill="1" applyBorder="1" applyAlignment="1">
      <alignment horizontal="center"/>
    </xf>
    <xf numFmtId="4" fontId="6" fillId="2" borderId="10" xfId="0" applyNumberFormat="1" applyFont="1" applyFill="1" applyBorder="1" applyAlignment="1">
      <alignment horizontal="center"/>
    </xf>
    <xf numFmtId="4" fontId="6" fillId="2" borderId="11" xfId="0" applyNumberFormat="1" applyFont="1" applyFill="1" applyBorder="1" applyAlignment="1">
      <alignment horizontal="center"/>
    </xf>
    <xf numFmtId="164" fontId="0" fillId="2" borderId="10" xfId="0" applyFont="1" applyFill="1" applyBorder="1" applyAlignment="1">
      <alignment horizontal="center"/>
    </xf>
    <xf numFmtId="9" fontId="6" fillId="3" borderId="10" xfId="0" applyNumberFormat="1" applyFont="1" applyFill="1" applyBorder="1" applyAlignment="1">
      <alignment horizontal="center"/>
    </xf>
    <xf numFmtId="164" fontId="0" fillId="0" borderId="1" xfId="0" applyNumberFormat="1" applyBorder="1"/>
    <xf numFmtId="164" fontId="0" fillId="0" borderId="2" xfId="0" applyNumberFormat="1" applyBorder="1"/>
    <xf numFmtId="164" fontId="0" fillId="3" borderId="2" xfId="0" applyNumberFormat="1" applyFont="1" applyFill="1" applyBorder="1" applyAlignment="1"/>
    <xf numFmtId="164" fontId="0" fillId="3" borderId="3" xfId="0" applyNumberFormat="1" applyFont="1" applyFill="1" applyBorder="1" applyAlignment="1"/>
    <xf numFmtId="164" fontId="0" fillId="0" borderId="4" xfId="0" applyNumberFormat="1" applyBorder="1"/>
    <xf numFmtId="164" fontId="0" fillId="0" borderId="5" xfId="0" applyNumberFormat="1" applyBorder="1"/>
    <xf numFmtId="164" fontId="0" fillId="3" borderId="5" xfId="0" applyNumberFormat="1" applyFont="1" applyFill="1" applyBorder="1" applyAlignment="1"/>
    <xf numFmtId="164" fontId="0" fillId="3" borderId="6" xfId="0" applyNumberFormat="1" applyFont="1" applyFill="1" applyBorder="1" applyAlignment="1"/>
    <xf numFmtId="166" fontId="6" fillId="2" borderId="12" xfId="0" applyNumberFormat="1" applyFont="1" applyFill="1" applyBorder="1" applyAlignment="1"/>
    <xf numFmtId="166" fontId="0" fillId="0" borderId="1" xfId="0" applyNumberFormat="1" applyFont="1" applyBorder="1" applyAlignment="1"/>
    <xf numFmtId="166" fontId="6" fillId="2" borderId="1" xfId="0" applyNumberFormat="1" applyFont="1" applyFill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6" fontId="0" fillId="0" borderId="13" xfId="0" applyNumberFormat="1" applyFont="1" applyBorder="1" applyAlignment="1"/>
    <xf numFmtId="164" fontId="0" fillId="0" borderId="13" xfId="0" applyFont="1" applyBorder="1" applyAlignment="1">
      <alignment horizontal="center"/>
    </xf>
    <xf numFmtId="3" fontId="0" fillId="0" borderId="13" xfId="0" applyNumberFormat="1" applyFont="1" applyBorder="1" applyAlignment="1">
      <alignment horizontal="center"/>
    </xf>
    <xf numFmtId="166" fontId="3" fillId="0" borderId="0" xfId="0" applyNumberFormat="1" applyFont="1" applyAlignment="1"/>
    <xf numFmtId="164" fontId="0" fillId="0" borderId="0" xfId="0" applyFont="1" applyAlignment="1">
      <alignment horizontal="center"/>
    </xf>
    <xf numFmtId="4" fontId="6" fillId="0" borderId="0" xfId="0" applyNumberFormat="1" applyFont="1" applyAlignment="1"/>
    <xf numFmtId="0" fontId="6" fillId="0" borderId="0" xfId="0" applyNumberFormat="1" applyFont="1" applyAlignment="1"/>
    <xf numFmtId="17" fontId="0" fillId="0" borderId="0" xfId="0" applyNumberFormat="1" applyFont="1" applyAlignment="1">
      <alignment horizontal="center"/>
    </xf>
    <xf numFmtId="4" fontId="0" fillId="0" borderId="0" xfId="0" applyNumberFormat="1" applyFont="1" applyAlignment="1"/>
    <xf numFmtId="165" fontId="0" fillId="0" borderId="0" xfId="0" applyNumberFormat="1" applyFont="1" applyAlignment="1"/>
    <xf numFmtId="164" fontId="6" fillId="0" borderId="0" xfId="0" applyFont="1" applyAlignment="1"/>
    <xf numFmtId="17" fontId="0" fillId="0" borderId="0" xfId="0" applyNumberFormat="1" applyFont="1" applyAlignment="1"/>
    <xf numFmtId="0" fontId="8" fillId="0" borderId="0" xfId="3" applyFont="1" applyAlignment="1"/>
    <xf numFmtId="0" fontId="2" fillId="0" borderId="0" xfId="3" applyFont="1" applyAlignment="1"/>
    <xf numFmtId="0" fontId="2" fillId="0" borderId="0" xfId="3" applyNumberFormat="1" applyFont="1" applyAlignment="1" applyProtection="1">
      <protection locked="0"/>
    </xf>
    <xf numFmtId="0" fontId="2" fillId="3" borderId="1" xfId="3" applyFont="1" applyFill="1" applyBorder="1" applyAlignment="1"/>
    <xf numFmtId="0" fontId="6" fillId="3" borderId="1" xfId="3" applyFont="1" applyFill="1" applyBorder="1" applyAlignment="1">
      <alignment horizontal="center"/>
    </xf>
    <xf numFmtId="0" fontId="2" fillId="0" borderId="4" xfId="3" applyNumberFormat="1" applyBorder="1"/>
    <xf numFmtId="0" fontId="7" fillId="3" borderId="4" xfId="3" applyFont="1" applyFill="1" applyBorder="1" applyAlignment="1">
      <alignment horizontal="center"/>
    </xf>
    <xf numFmtId="0" fontId="2" fillId="3" borderId="4" xfId="3" applyFont="1" applyFill="1" applyBorder="1" applyAlignment="1"/>
    <xf numFmtId="0" fontId="2" fillId="2" borderId="1" xfId="3" applyFont="1" applyFill="1" applyBorder="1" applyAlignment="1"/>
    <xf numFmtId="0" fontId="2" fillId="0" borderId="1" xfId="3" applyFont="1" applyBorder="1" applyAlignment="1"/>
    <xf numFmtId="17" fontId="2" fillId="0" borderId="14" xfId="3" applyNumberFormat="1" applyFont="1" applyBorder="1" applyAlignment="1">
      <alignment horizontal="center"/>
    </xf>
    <xf numFmtId="3" fontId="2" fillId="0" borderId="14" xfId="3" applyNumberFormat="1" applyFont="1" applyBorder="1" applyAlignment="1">
      <alignment horizontal="center"/>
    </xf>
    <xf numFmtId="3" fontId="6" fillId="0" borderId="14" xfId="3" applyNumberFormat="1" applyFont="1" applyBorder="1" applyAlignment="1">
      <alignment horizontal="center"/>
    </xf>
    <xf numFmtId="17" fontId="7" fillId="0" borderId="14" xfId="3" applyNumberFormat="1" applyFont="1" applyBorder="1" applyAlignment="1">
      <alignment horizontal="center"/>
    </xf>
    <xf numFmtId="17" fontId="6" fillId="0" borderId="14" xfId="3" applyNumberFormat="1" applyFont="1" applyBorder="1" applyAlignment="1">
      <alignment horizontal="center"/>
    </xf>
    <xf numFmtId="17" fontId="2" fillId="0" borderId="13" xfId="3" applyNumberFormat="1" applyFont="1" applyBorder="1" applyAlignment="1">
      <alignment horizontal="center"/>
    </xf>
    <xf numFmtId="0" fontId="2" fillId="0" borderId="13" xfId="3" applyFont="1" applyBorder="1" applyAlignment="1">
      <alignment horizontal="center"/>
    </xf>
    <xf numFmtId="0" fontId="2" fillId="0" borderId="13" xfId="3" applyNumberFormat="1" applyFont="1" applyBorder="1" applyAlignment="1">
      <alignment horizontal="center"/>
    </xf>
    <xf numFmtId="17" fontId="8" fillId="0" borderId="0" xfId="3" applyNumberFormat="1" applyFont="1" applyAlignment="1">
      <alignment horizontal="centerContinuous"/>
    </xf>
    <xf numFmtId="0" fontId="8" fillId="0" borderId="0" xfId="3" applyNumberFormat="1" applyFont="1" applyAlignment="1">
      <alignment horizontal="centerContinuous"/>
    </xf>
    <xf numFmtId="0" fontId="2" fillId="0" borderId="0" xfId="3" applyFont="1" applyAlignment="1">
      <alignment horizontal="center"/>
    </xf>
    <xf numFmtId="0" fontId="2" fillId="0" borderId="0" xfId="3" applyNumberFormat="1" applyFont="1" applyAlignment="1">
      <alignment horizontal="center"/>
    </xf>
    <xf numFmtId="17" fontId="2" fillId="3" borderId="1" xfId="3" applyNumberFormat="1" applyFont="1" applyFill="1" applyBorder="1" applyAlignment="1">
      <alignment horizontal="center"/>
    </xf>
    <xf numFmtId="0" fontId="2" fillId="3" borderId="1" xfId="3" applyFont="1" applyFill="1" applyBorder="1" applyAlignment="1">
      <alignment horizontal="center"/>
    </xf>
    <xf numFmtId="0" fontId="7" fillId="3" borderId="1" xfId="3" applyFont="1" applyFill="1" applyBorder="1" applyAlignment="1">
      <alignment horizontal="center"/>
    </xf>
    <xf numFmtId="0" fontId="2" fillId="3" borderId="1" xfId="3" applyNumberFormat="1" applyFont="1" applyFill="1" applyBorder="1" applyAlignment="1">
      <alignment horizontal="center"/>
    </xf>
    <xf numFmtId="0" fontId="6" fillId="3" borderId="1" xfId="3" applyNumberFormat="1" applyFont="1" applyFill="1" applyBorder="1" applyAlignment="1">
      <alignment horizontal="center"/>
    </xf>
    <xf numFmtId="17" fontId="7" fillId="3" borderId="4" xfId="3" applyNumberFormat="1" applyFont="1" applyFill="1" applyBorder="1" applyAlignment="1">
      <alignment horizontal="center"/>
    </xf>
    <xf numFmtId="0" fontId="7" fillId="3" borderId="4" xfId="3" applyNumberFormat="1" applyFont="1" applyFill="1" applyBorder="1" applyAlignment="1">
      <alignment horizontal="center"/>
    </xf>
    <xf numFmtId="17" fontId="2" fillId="3" borderId="4" xfId="3" applyNumberFormat="1" applyFont="1" applyFill="1" applyBorder="1" applyAlignment="1">
      <alignment horizontal="center"/>
    </xf>
    <xf numFmtId="0" fontId="2" fillId="3" borderId="4" xfId="3" applyFont="1" applyFill="1" applyBorder="1" applyAlignment="1">
      <alignment horizontal="center"/>
    </xf>
    <xf numFmtId="0" fontId="2" fillId="3" borderId="4" xfId="3" applyNumberFormat="1" applyFont="1" applyFill="1" applyBorder="1" applyAlignment="1">
      <alignment horizontal="center"/>
    </xf>
    <xf numFmtId="17" fontId="2" fillId="2" borderId="1" xfId="3" applyNumberFormat="1" applyFont="1" applyFill="1" applyBorder="1" applyAlignment="1">
      <alignment horizontal="center"/>
    </xf>
    <xf numFmtId="0" fontId="2" fillId="2" borderId="1" xfId="3" applyFont="1" applyFill="1" applyBorder="1" applyAlignment="1">
      <alignment horizontal="center"/>
    </xf>
    <xf numFmtId="0" fontId="2" fillId="0" borderId="1" xfId="3" applyFont="1" applyBorder="1" applyAlignment="1">
      <alignment horizontal="center"/>
    </xf>
    <xf numFmtId="0" fontId="2" fillId="2" borderId="1" xfId="3" applyNumberFormat="1" applyFont="1" applyFill="1" applyBorder="1" applyAlignment="1">
      <alignment horizontal="center"/>
    </xf>
    <xf numFmtId="4" fontId="2" fillId="0" borderId="13" xfId="3" applyNumberFormat="1" applyFont="1" applyBorder="1" applyAlignment="1">
      <alignment horizontal="center"/>
    </xf>
    <xf numFmtId="0" fontId="7" fillId="0" borderId="0" xfId="3" applyFont="1" applyAlignment="1">
      <alignment horizontal="left"/>
    </xf>
    <xf numFmtId="0" fontId="3" fillId="0" borderId="0" xfId="2" applyNumberFormat="1" applyFont="1" applyAlignment="1"/>
    <xf numFmtId="0" fontId="2" fillId="0" borderId="0" xfId="2" applyNumberFormat="1" applyFont="1" applyAlignment="1"/>
    <xf numFmtId="0" fontId="2" fillId="0" borderId="0" xfId="2" applyAlignment="1"/>
    <xf numFmtId="0" fontId="4" fillId="0" borderId="0" xfId="2" applyNumberFormat="1" applyFont="1" applyAlignment="1"/>
    <xf numFmtId="0" fontId="2" fillId="2" borderId="1" xfId="2" applyNumberFormat="1" applyFont="1" applyFill="1" applyBorder="1" applyAlignment="1"/>
    <xf numFmtId="0" fontId="6" fillId="2" borderId="2" xfId="2" applyNumberFormat="1" applyFont="1" applyFill="1" applyBorder="1" applyAlignment="1">
      <alignment horizontal="center"/>
    </xf>
    <xf numFmtId="0" fontId="6" fillId="3" borderId="2" xfId="2" applyNumberFormat="1" applyFont="1" applyFill="1" applyBorder="1" applyAlignment="1">
      <alignment horizontal="center"/>
    </xf>
    <xf numFmtId="0" fontId="2" fillId="0" borderId="4" xfId="2" applyBorder="1"/>
    <xf numFmtId="0" fontId="6" fillId="2" borderId="15" xfId="2" applyNumberFormat="1" applyFont="1" applyFill="1" applyBorder="1" applyAlignment="1">
      <alignment horizontal="center"/>
    </xf>
    <xf numFmtId="0" fontId="6" fillId="2" borderId="16" xfId="2" applyNumberFormat="1" applyFont="1" applyFill="1" applyBorder="1" applyAlignment="1">
      <alignment horizontal="center"/>
    </xf>
    <xf numFmtId="0" fontId="6" fillId="3" borderId="16" xfId="2" applyNumberFormat="1" applyFont="1" applyFill="1" applyBorder="1" applyAlignment="1">
      <alignment horizontal="center"/>
    </xf>
    <xf numFmtId="0" fontId="7" fillId="0" borderId="4" xfId="2" applyNumberFormat="1" applyFont="1" applyBorder="1" applyAlignment="1">
      <alignment horizontal="center"/>
    </xf>
    <xf numFmtId="0" fontId="7" fillId="0" borderId="5" xfId="2" applyNumberFormat="1" applyFont="1" applyBorder="1" applyAlignment="1">
      <alignment horizontal="center"/>
    </xf>
    <xf numFmtId="0" fontId="7" fillId="3" borderId="5" xfId="2" applyNumberFormat="1" applyFont="1" applyFill="1" applyBorder="1" applyAlignment="1">
      <alignment horizontal="center"/>
    </xf>
    <xf numFmtId="166" fontId="6" fillId="0" borderId="4" xfId="2" applyNumberFormat="1" applyFont="1" applyBorder="1" applyAlignment="1"/>
    <xf numFmtId="17" fontId="2" fillId="0" borderId="5" xfId="2" applyNumberFormat="1" applyFont="1" applyBorder="1" applyAlignment="1">
      <alignment horizontal="center"/>
    </xf>
    <xf numFmtId="9" fontId="2" fillId="3" borderId="5" xfId="2" applyNumberFormat="1" applyFont="1" applyFill="1" applyBorder="1" applyAlignment="1">
      <alignment horizontal="center"/>
    </xf>
    <xf numFmtId="166" fontId="2" fillId="0" borderId="4" xfId="2" applyNumberFormat="1" applyFont="1" applyBorder="1" applyAlignment="1"/>
    <xf numFmtId="0" fontId="2" fillId="0" borderId="5" xfId="2" applyNumberFormat="1" applyFont="1" applyBorder="1" applyAlignment="1">
      <alignment horizontal="center"/>
    </xf>
    <xf numFmtId="166" fontId="6" fillId="2" borderId="1" xfId="2" applyNumberFormat="1" applyFont="1" applyFill="1" applyBorder="1" applyAlignment="1"/>
    <xf numFmtId="0" fontId="2" fillId="2" borderId="2" xfId="2" applyNumberFormat="1" applyFont="1" applyFill="1" applyBorder="1" applyAlignment="1">
      <alignment horizontal="center"/>
    </xf>
    <xf numFmtId="9" fontId="6" fillId="3" borderId="2" xfId="2" applyNumberFormat="1" applyFont="1" applyFill="1" applyBorder="1" applyAlignment="1">
      <alignment horizontal="center"/>
    </xf>
    <xf numFmtId="166" fontId="6" fillId="0" borderId="1" xfId="2" applyNumberFormat="1" applyFont="1" applyBorder="1" applyAlignment="1"/>
    <xf numFmtId="0" fontId="2" fillId="0" borderId="2" xfId="2" applyNumberFormat="1" applyFont="1" applyBorder="1" applyAlignment="1">
      <alignment horizontal="center"/>
    </xf>
    <xf numFmtId="9" fontId="2" fillId="3" borderId="2" xfId="2" applyNumberFormat="1" applyFont="1" applyFill="1" applyBorder="1" applyAlignment="1">
      <alignment horizontal="center"/>
    </xf>
    <xf numFmtId="166" fontId="6" fillId="2" borderId="7" xfId="2" applyNumberFormat="1" applyFont="1" applyFill="1" applyBorder="1" applyAlignment="1"/>
    <xf numFmtId="0" fontId="2" fillId="2" borderId="8" xfId="2" applyNumberFormat="1" applyFont="1" applyFill="1" applyBorder="1" applyAlignment="1">
      <alignment horizontal="center"/>
    </xf>
    <xf numFmtId="9" fontId="6" fillId="3" borderId="8" xfId="2" applyNumberFormat="1" applyFont="1" applyFill="1" applyBorder="1" applyAlignment="1">
      <alignment horizontal="center"/>
    </xf>
    <xf numFmtId="166" fontId="6" fillId="2" borderId="12" xfId="2" applyNumberFormat="1" applyFont="1" applyFill="1" applyBorder="1" applyAlignment="1"/>
    <xf numFmtId="0" fontId="2" fillId="2" borderId="10" xfId="2" applyNumberFormat="1" applyFont="1" applyFill="1" applyBorder="1" applyAlignment="1">
      <alignment horizontal="center"/>
    </xf>
    <xf numFmtId="166" fontId="2" fillId="0" borderId="1" xfId="2" applyNumberFormat="1" applyFont="1" applyBorder="1" applyAlignment="1"/>
    <xf numFmtId="166" fontId="6" fillId="2" borderId="1" xfId="2" applyNumberFormat="1" applyFont="1" applyFill="1" applyBorder="1" applyAlignment="1">
      <alignment horizontal="center"/>
    </xf>
    <xf numFmtId="4" fontId="6" fillId="0" borderId="0" xfId="2" applyNumberFormat="1" applyFont="1" applyAlignment="1"/>
    <xf numFmtId="0" fontId="3" fillId="0" borderId="0" xfId="1" applyNumberFormat="1" applyFont="1" applyAlignment="1"/>
    <xf numFmtId="0" fontId="2" fillId="0" borderId="0" xfId="1" applyNumberFormat="1" applyFont="1" applyAlignment="1"/>
    <xf numFmtId="0" fontId="2" fillId="0" borderId="0" xfId="1"/>
    <xf numFmtId="0" fontId="2" fillId="0" borderId="0" xfId="1" applyAlignment="1"/>
    <xf numFmtId="0" fontId="4" fillId="0" borderId="0" xfId="1" applyNumberFormat="1" applyFont="1" applyAlignment="1"/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6" fillId="3" borderId="2" xfId="1" applyNumberFormat="1" applyFont="1" applyFill="1" applyBorder="1" applyAlignment="1">
      <alignment horizontal="center"/>
    </xf>
    <xf numFmtId="0" fontId="2" fillId="0" borderId="0" xfId="1" applyBorder="1"/>
    <xf numFmtId="0" fontId="6" fillId="2" borderId="4" xfId="1" applyNumberFormat="1" applyFont="1" applyFill="1" applyBorder="1" applyAlignment="1">
      <alignment horizontal="center"/>
    </xf>
    <xf numFmtId="0" fontId="6" fillId="2" borderId="5" xfId="1" applyNumberFormat="1" applyFont="1" applyFill="1" applyBorder="1" applyAlignment="1">
      <alignment horizontal="center"/>
    </xf>
    <xf numFmtId="0" fontId="6" fillId="3" borderId="5" xfId="1" applyNumberFormat="1" applyFont="1" applyFill="1" applyBorder="1" applyAlignment="1">
      <alignment horizontal="center"/>
    </xf>
    <xf numFmtId="0" fontId="7" fillId="0" borderId="1" xfId="1" applyNumberFormat="1" applyFont="1" applyBorder="1" applyAlignment="1">
      <alignment horizontal="center"/>
    </xf>
    <xf numFmtId="0" fontId="7" fillId="0" borderId="2" xfId="1" applyNumberFormat="1" applyFont="1" applyBorder="1" applyAlignment="1">
      <alignment horizontal="center"/>
    </xf>
    <xf numFmtId="0" fontId="7" fillId="3" borderId="2" xfId="1" applyNumberFormat="1" applyFont="1" applyFill="1" applyBorder="1" applyAlignment="1">
      <alignment horizontal="center"/>
    </xf>
    <xf numFmtId="166" fontId="6" fillId="0" borderId="4" xfId="1" applyNumberFormat="1" applyFont="1" applyBorder="1" applyAlignment="1"/>
    <xf numFmtId="17" fontId="2" fillId="0" borderId="5" xfId="1" applyNumberFormat="1" applyFont="1" applyBorder="1" applyAlignment="1">
      <alignment horizontal="center"/>
    </xf>
    <xf numFmtId="9" fontId="2" fillId="3" borderId="5" xfId="1" applyNumberFormat="1" applyFont="1" applyFill="1" applyBorder="1" applyAlignment="1">
      <alignment horizontal="center"/>
    </xf>
    <xf numFmtId="166" fontId="2" fillId="0" borderId="4" xfId="1" applyNumberFormat="1" applyFont="1" applyBorder="1" applyAlignment="1"/>
    <xf numFmtId="0" fontId="2" fillId="0" borderId="5" xfId="1" applyNumberFormat="1" applyFont="1" applyBorder="1" applyAlignment="1">
      <alignment horizontal="center"/>
    </xf>
    <xf numFmtId="166" fontId="6" fillId="2" borderId="1" xfId="1" applyNumberFormat="1" applyFont="1" applyFill="1" applyBorder="1" applyAlignment="1"/>
    <xf numFmtId="9" fontId="6" fillId="3" borderId="2" xfId="1" applyNumberFormat="1" applyFont="1" applyFill="1" applyBorder="1" applyAlignment="1">
      <alignment horizontal="center"/>
    </xf>
    <xf numFmtId="166" fontId="2" fillId="0" borderId="1" xfId="1" applyNumberFormat="1" applyFont="1" applyBorder="1" applyAlignment="1"/>
    <xf numFmtId="0" fontId="2" fillId="0" borderId="2" xfId="1" applyNumberFormat="1" applyFont="1" applyBorder="1" applyAlignment="1">
      <alignment horizontal="center"/>
    </xf>
    <xf numFmtId="9" fontId="2" fillId="3" borderId="2" xfId="1" applyNumberFormat="1" applyFont="1" applyFill="1" applyBorder="1" applyAlignment="1">
      <alignment horizontal="center"/>
    </xf>
    <xf numFmtId="166" fontId="6" fillId="2" borderId="7" xfId="1" applyNumberFormat="1" applyFont="1" applyFill="1" applyBorder="1" applyAlignment="1"/>
    <xf numFmtId="0" fontId="6" fillId="2" borderId="8" xfId="1" applyNumberFormat="1" applyFont="1" applyFill="1" applyBorder="1" applyAlignment="1">
      <alignment horizontal="center"/>
    </xf>
    <xf numFmtId="9" fontId="6" fillId="3" borderId="8" xfId="1" applyNumberFormat="1" applyFont="1" applyFill="1" applyBorder="1" applyAlignment="1">
      <alignment horizontal="center"/>
    </xf>
    <xf numFmtId="0" fontId="6" fillId="0" borderId="4" xfId="1" applyNumberFormat="1" applyFont="1" applyBorder="1" applyAlignment="1"/>
    <xf numFmtId="17" fontId="6" fillId="2" borderId="8" xfId="1" applyNumberFormat="1" applyFont="1" applyFill="1" applyBorder="1" applyAlignment="1">
      <alignment horizontal="center"/>
    </xf>
    <xf numFmtId="0" fontId="2" fillId="0" borderId="5" xfId="1" applyBorder="1"/>
    <xf numFmtId="0" fontId="2" fillId="3" borderId="5" xfId="1" applyFont="1" applyFill="1" applyBorder="1" applyAlignment="1"/>
    <xf numFmtId="0" fontId="2" fillId="2" borderId="8" xfId="1" applyNumberFormat="1" applyFont="1" applyFill="1" applyBorder="1" applyAlignment="1">
      <alignment horizontal="center"/>
    </xf>
    <xf numFmtId="166" fontId="6" fillId="2" borderId="12" xfId="1" applyNumberFormat="1" applyFont="1" applyFill="1" applyBorder="1" applyAlignment="1"/>
    <xf numFmtId="0" fontId="6" fillId="2" borderId="10" xfId="1" applyNumberFormat="1" applyFont="1" applyFill="1" applyBorder="1" applyAlignment="1">
      <alignment horizontal="center"/>
    </xf>
    <xf numFmtId="166" fontId="6" fillId="2" borderId="1" xfId="1" applyNumberFormat="1" applyFont="1" applyFill="1" applyBorder="1" applyAlignment="1">
      <alignment horizontal="center"/>
    </xf>
    <xf numFmtId="166" fontId="6" fillId="0" borderId="13" xfId="1" applyNumberFormat="1" applyFont="1" applyBorder="1" applyAlignment="1"/>
    <xf numFmtId="0" fontId="6" fillId="0" borderId="13" xfId="1" applyNumberFormat="1" applyFont="1" applyBorder="1" applyAlignment="1">
      <alignment horizontal="center"/>
    </xf>
    <xf numFmtId="4" fontId="6" fillId="0" borderId="13" xfId="1" applyNumberFormat="1" applyFont="1" applyBorder="1" applyAlignment="1">
      <alignment horizontal="center"/>
    </xf>
    <xf numFmtId="0" fontId="9" fillId="0" borderId="0" xfId="1" applyNumberFormat="1" applyFont="1" applyAlignment="1"/>
    <xf numFmtId="17" fontId="6" fillId="0" borderId="0" xfId="1" applyNumberFormat="1" applyFont="1" applyAlignment="1">
      <alignment horizontal="center"/>
    </xf>
    <xf numFmtId="4" fontId="6" fillId="0" borderId="0" xfId="1" applyNumberFormat="1" applyFont="1" applyAlignment="1">
      <alignment horizontal="center"/>
    </xf>
    <xf numFmtId="0" fontId="6" fillId="0" borderId="0" xfId="1" applyNumberFormat="1" applyFont="1" applyAlignment="1"/>
    <xf numFmtId="3" fontId="0" fillId="0" borderId="0" xfId="0" applyNumberFormat="1" applyFont="1" applyAlignment="1"/>
    <xf numFmtId="3" fontId="5" fillId="2" borderId="2" xfId="0" applyNumberFormat="1" applyFont="1" applyFill="1" applyBorder="1" applyAlignment="1">
      <alignment horizontal="center"/>
    </xf>
    <xf numFmtId="3" fontId="5" fillId="2" borderId="5" xfId="0" applyNumberFormat="1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3" fontId="0" fillId="0" borderId="2" xfId="0" applyNumberFormat="1" applyBorder="1"/>
    <xf numFmtId="3" fontId="0" fillId="0" borderId="5" xfId="0" applyNumberFormat="1" applyBorder="1"/>
    <xf numFmtId="3" fontId="6" fillId="0" borderId="0" xfId="0" applyNumberFormat="1" applyFont="1" applyAlignment="1"/>
    <xf numFmtId="3" fontId="0" fillId="0" borderId="0" xfId="0" applyNumberFormat="1" applyFont="1" applyAlignment="1" applyProtection="1">
      <protection locked="0"/>
    </xf>
    <xf numFmtId="3" fontId="2" fillId="0" borderId="0" xfId="2" applyNumberFormat="1" applyFont="1" applyAlignment="1"/>
    <xf numFmtId="3" fontId="6" fillId="2" borderId="2" xfId="2" applyNumberFormat="1" applyFont="1" applyFill="1" applyBorder="1" applyAlignment="1">
      <alignment horizontal="center"/>
    </xf>
    <xf numFmtId="3" fontId="6" fillId="2" borderId="16" xfId="2" applyNumberFormat="1" applyFont="1" applyFill="1" applyBorder="1" applyAlignment="1">
      <alignment horizontal="center"/>
    </xf>
    <xf numFmtId="3" fontId="7" fillId="0" borderId="5" xfId="2" applyNumberFormat="1" applyFont="1" applyBorder="1" applyAlignment="1">
      <alignment horizontal="center"/>
    </xf>
    <xf numFmtId="3" fontId="2" fillId="0" borderId="5" xfId="2" applyNumberFormat="1" applyFont="1" applyBorder="1" applyAlignment="1">
      <alignment horizontal="center"/>
    </xf>
    <xf numFmtId="3" fontId="2" fillId="0" borderId="2" xfId="2" applyNumberFormat="1" applyFont="1" applyBorder="1" applyAlignment="1">
      <alignment horizontal="center"/>
    </xf>
    <xf numFmtId="3" fontId="6" fillId="2" borderId="8" xfId="2" applyNumberFormat="1" applyFont="1" applyFill="1" applyBorder="1" applyAlignment="1">
      <alignment horizontal="center"/>
    </xf>
    <xf numFmtId="3" fontId="6" fillId="2" borderId="10" xfId="2" applyNumberFormat="1" applyFont="1" applyFill="1" applyBorder="1" applyAlignment="1">
      <alignment horizontal="center"/>
    </xf>
    <xf numFmtId="3" fontId="6" fillId="0" borderId="0" xfId="2" applyNumberFormat="1" applyFont="1" applyAlignment="1"/>
    <xf numFmtId="3" fontId="2" fillId="0" borderId="0" xfId="2" applyNumberFormat="1" applyAlignment="1"/>
    <xf numFmtId="167" fontId="2" fillId="0" borderId="0" xfId="2" applyNumberFormat="1" applyFont="1" applyAlignment="1"/>
    <xf numFmtId="167" fontId="6" fillId="0" borderId="0" xfId="2" applyNumberFormat="1" applyFont="1" applyAlignment="1">
      <alignment horizontal="center"/>
    </xf>
    <xf numFmtId="167" fontId="6" fillId="2" borderId="2" xfId="2" applyNumberFormat="1" applyFont="1" applyFill="1" applyBorder="1" applyAlignment="1">
      <alignment horizontal="center"/>
    </xf>
    <xf numFmtId="167" fontId="6" fillId="2" borderId="17" xfId="2" applyNumberFormat="1" applyFont="1" applyFill="1" applyBorder="1" applyAlignment="1">
      <alignment horizontal="center"/>
    </xf>
    <xf numFmtId="167" fontId="7" fillId="0" borderId="6" xfId="2" applyNumberFormat="1" applyFont="1" applyBorder="1" applyAlignment="1">
      <alignment horizontal="center"/>
    </xf>
    <xf numFmtId="167" fontId="2" fillId="0" borderId="5" xfId="2" applyNumberFormat="1" applyFont="1" applyBorder="1" applyAlignment="1">
      <alignment horizontal="center"/>
    </xf>
    <xf numFmtId="167" fontId="2" fillId="0" borderId="2" xfId="2" applyNumberFormat="1" applyFont="1" applyBorder="1" applyAlignment="1">
      <alignment horizontal="center"/>
    </xf>
    <xf numFmtId="167" fontId="6" fillId="2" borderId="9" xfId="2" applyNumberFormat="1" applyFont="1" applyFill="1" applyBorder="1" applyAlignment="1">
      <alignment horizontal="center"/>
    </xf>
    <xf numFmtId="167" fontId="2" fillId="0" borderId="6" xfId="2" applyNumberFormat="1" applyFont="1" applyBorder="1" applyAlignment="1">
      <alignment horizontal="center"/>
    </xf>
    <xf numFmtId="167" fontId="2" fillId="0" borderId="3" xfId="2" applyNumberFormat="1" applyFont="1" applyBorder="1" applyAlignment="1">
      <alignment horizontal="center"/>
    </xf>
    <xf numFmtId="167" fontId="6" fillId="0" borderId="0" xfId="2" applyNumberFormat="1" applyFont="1" applyAlignment="1"/>
    <xf numFmtId="167" fontId="2" fillId="0" borderId="0" xfId="2" applyNumberFormat="1" applyAlignment="1"/>
    <xf numFmtId="3" fontId="2" fillId="0" borderId="0" xfId="1" applyNumberFormat="1" applyFont="1" applyAlignment="1"/>
    <xf numFmtId="3" fontId="6" fillId="2" borderId="2" xfId="1" applyNumberFormat="1" applyFont="1" applyFill="1" applyBorder="1" applyAlignment="1">
      <alignment horizontal="center"/>
    </xf>
    <xf numFmtId="3" fontId="6" fillId="2" borderId="5" xfId="1" applyNumberFormat="1" applyFont="1" applyFill="1" applyBorder="1" applyAlignment="1">
      <alignment horizontal="center"/>
    </xf>
    <xf numFmtId="3" fontId="7" fillId="0" borderId="2" xfId="1" applyNumberFormat="1" applyFont="1" applyBorder="1" applyAlignment="1">
      <alignment horizontal="center"/>
    </xf>
    <xf numFmtId="3" fontId="2" fillId="0" borderId="5" xfId="1" applyNumberFormat="1" applyFont="1" applyBorder="1" applyAlignment="1">
      <alignment horizontal="center"/>
    </xf>
    <xf numFmtId="3" fontId="2" fillId="0" borderId="2" xfId="1" applyNumberFormat="1" applyFont="1" applyBorder="1" applyAlignment="1">
      <alignment horizontal="center"/>
    </xf>
    <xf numFmtId="3" fontId="6" fillId="2" borderId="8" xfId="1" applyNumberFormat="1" applyFont="1" applyFill="1" applyBorder="1" applyAlignment="1">
      <alignment horizontal="center"/>
    </xf>
    <xf numFmtId="3" fontId="2" fillId="0" borderId="5" xfId="1" applyNumberFormat="1" applyBorder="1"/>
    <xf numFmtId="3" fontId="6" fillId="2" borderId="10" xfId="1" applyNumberFormat="1" applyFont="1" applyFill="1" applyBorder="1" applyAlignment="1">
      <alignment horizontal="center"/>
    </xf>
    <xf numFmtId="3" fontId="6" fillId="0" borderId="13" xfId="1" applyNumberFormat="1" applyFont="1" applyBorder="1" applyAlignment="1">
      <alignment horizontal="center"/>
    </xf>
    <xf numFmtId="3" fontId="6" fillId="0" borderId="0" xfId="1" applyNumberFormat="1" applyFont="1" applyAlignment="1">
      <alignment horizontal="center"/>
    </xf>
    <xf numFmtId="3" fontId="2" fillId="0" borderId="0" xfId="1" applyNumberFormat="1" applyAlignment="1"/>
    <xf numFmtId="167" fontId="2" fillId="0" borderId="0" xfId="1" applyNumberFormat="1" applyFont="1" applyAlignment="1"/>
    <xf numFmtId="167" fontId="6" fillId="0" borderId="0" xfId="1" applyNumberFormat="1" applyFont="1" applyAlignment="1">
      <alignment horizontal="centerContinuous"/>
    </xf>
    <xf numFmtId="167" fontId="6" fillId="2" borderId="2" xfId="1" applyNumberFormat="1" applyFont="1" applyFill="1" applyBorder="1" applyAlignment="1">
      <alignment horizontal="center"/>
    </xf>
    <xf numFmtId="167" fontId="6" fillId="2" borderId="3" xfId="1" applyNumberFormat="1" applyFont="1" applyFill="1" applyBorder="1" applyAlignment="1">
      <alignment horizontal="center"/>
    </xf>
    <xf numFmtId="167" fontId="6" fillId="2" borderId="5" xfId="1" applyNumberFormat="1" applyFont="1" applyFill="1" applyBorder="1" applyAlignment="1">
      <alignment horizontal="center"/>
    </xf>
    <xf numFmtId="167" fontId="7" fillId="0" borderId="2" xfId="1" applyNumberFormat="1" applyFont="1" applyBorder="1" applyAlignment="1">
      <alignment horizontal="center"/>
    </xf>
    <xf numFmtId="167" fontId="7" fillId="0" borderId="3" xfId="1" applyNumberFormat="1" applyFont="1" applyBorder="1" applyAlignment="1">
      <alignment horizontal="center"/>
    </xf>
    <xf numFmtId="167" fontId="2" fillId="0" borderId="5" xfId="1" applyNumberFormat="1" applyFont="1" applyBorder="1" applyAlignment="1">
      <alignment horizontal="center"/>
    </xf>
    <xf numFmtId="167" fontId="2" fillId="0" borderId="6" xfId="1" applyNumberFormat="1" applyFont="1" applyBorder="1" applyAlignment="1">
      <alignment horizontal="center"/>
    </xf>
    <xf numFmtId="167" fontId="2" fillId="0" borderId="2" xfId="1" applyNumberFormat="1" applyFont="1" applyBorder="1" applyAlignment="1">
      <alignment horizontal="center"/>
    </xf>
    <xf numFmtId="167" fontId="2" fillId="0" borderId="3" xfId="1" applyNumberFormat="1" applyFont="1" applyBorder="1" applyAlignment="1">
      <alignment horizontal="center"/>
    </xf>
    <xf numFmtId="167" fontId="6" fillId="2" borderId="8" xfId="1" applyNumberFormat="1" applyFont="1" applyFill="1" applyBorder="1" applyAlignment="1">
      <alignment horizontal="center"/>
    </xf>
    <xf numFmtId="167" fontId="6" fillId="2" borderId="9" xfId="1" applyNumberFormat="1" applyFont="1" applyFill="1" applyBorder="1" applyAlignment="1">
      <alignment horizontal="center"/>
    </xf>
    <xf numFmtId="167" fontId="2" fillId="0" borderId="5" xfId="1" applyNumberFormat="1" applyBorder="1"/>
    <xf numFmtId="167" fontId="2" fillId="0" borderId="6" xfId="1" applyNumberFormat="1" applyBorder="1"/>
    <xf numFmtId="167" fontId="6" fillId="2" borderId="10" xfId="1" applyNumberFormat="1" applyFont="1" applyFill="1" applyBorder="1" applyAlignment="1">
      <alignment horizontal="center"/>
    </xf>
    <xf numFmtId="167" fontId="6" fillId="0" borderId="13" xfId="1" applyNumberFormat="1" applyFont="1" applyBorder="1" applyAlignment="1">
      <alignment horizontal="center"/>
    </xf>
    <xf numFmtId="167" fontId="6" fillId="0" borderId="0" xfId="1" applyNumberFormat="1" applyFont="1" applyAlignment="1">
      <alignment horizontal="center"/>
    </xf>
    <xf numFmtId="167" fontId="2" fillId="0" borderId="0" xfId="1" applyNumberFormat="1" applyAlignment="1"/>
    <xf numFmtId="167" fontId="6" fillId="2" borderId="3" xfId="1" applyNumberFormat="1" applyFont="1" applyFill="1" applyBorder="1" applyAlignment="1"/>
    <xf numFmtId="167" fontId="6" fillId="2" borderId="6" xfId="1" applyNumberFormat="1" applyFont="1" applyFill="1" applyBorder="1" applyAlignment="1"/>
    <xf numFmtId="166" fontId="6" fillId="0" borderId="18" xfId="2" applyNumberFormat="1" applyFont="1" applyBorder="1" applyAlignment="1"/>
    <xf numFmtId="166" fontId="6" fillId="0" borderId="0" xfId="1" applyNumberFormat="1" applyFont="1" applyBorder="1" applyAlignment="1"/>
    <xf numFmtId="167" fontId="6" fillId="0" borderId="0" xfId="1" applyNumberFormat="1" applyFont="1" applyBorder="1" applyAlignment="1">
      <alignment horizontal="center"/>
    </xf>
    <xf numFmtId="0" fontId="6" fillId="0" borderId="0" xfId="1" applyNumberFormat="1" applyFont="1" applyBorder="1" applyAlignment="1">
      <alignment horizontal="center"/>
    </xf>
    <xf numFmtId="3" fontId="6" fillId="0" borderId="0" xfId="1" applyNumberFormat="1" applyFont="1" applyBorder="1" applyAlignment="1">
      <alignment horizontal="center"/>
    </xf>
    <xf numFmtId="4" fontId="6" fillId="0" borderId="0" xfId="1" applyNumberFormat="1" applyFont="1" applyBorder="1" applyAlignment="1">
      <alignment horizontal="center"/>
    </xf>
    <xf numFmtId="3" fontId="6" fillId="2" borderId="11" xfId="2" applyNumberFormat="1" applyFont="1" applyFill="1" applyBorder="1" applyAlignment="1">
      <alignment horizontal="center"/>
    </xf>
    <xf numFmtId="3" fontId="6" fillId="2" borderId="19" xfId="2" applyNumberFormat="1" applyFont="1" applyFill="1" applyBorder="1" applyAlignment="1">
      <alignment horizontal="center"/>
    </xf>
    <xf numFmtId="166" fontId="10" fillId="0" borderId="0" xfId="2" applyNumberFormat="1" applyFont="1" applyAlignment="1"/>
    <xf numFmtId="166" fontId="10" fillId="0" borderId="0" xfId="0" applyNumberFormat="1" applyFont="1" applyAlignment="1"/>
    <xf numFmtId="166" fontId="6" fillId="2" borderId="7" xfId="2" applyNumberFormat="1" applyFont="1" applyFill="1" applyBorder="1" applyAlignment="1">
      <alignment horizontal="center"/>
    </xf>
    <xf numFmtId="0" fontId="6" fillId="2" borderId="8" xfId="2" applyNumberFormat="1" applyFont="1" applyFill="1" applyBorder="1" applyAlignment="1">
      <alignment horizontal="center"/>
    </xf>
    <xf numFmtId="167" fontId="6" fillId="2" borderId="20" xfId="2" applyNumberFormat="1" applyFont="1" applyFill="1" applyBorder="1" applyAlignment="1">
      <alignment horizontal="center"/>
    </xf>
    <xf numFmtId="9" fontId="6" fillId="3" borderId="10" xfId="2" applyNumberFormat="1" applyFont="1" applyFill="1" applyBorder="1" applyAlignment="1">
      <alignment horizontal="center"/>
    </xf>
    <xf numFmtId="9" fontId="6" fillId="3" borderId="21" xfId="2" applyNumberFormat="1" applyFont="1" applyFill="1" applyBorder="1" applyAlignment="1">
      <alignment horizontal="center"/>
    </xf>
    <xf numFmtId="167" fontId="6" fillId="2" borderId="20" xfId="1" applyNumberFormat="1" applyFont="1" applyFill="1" applyBorder="1" applyAlignment="1">
      <alignment horizontal="center"/>
    </xf>
    <xf numFmtId="3" fontId="6" fillId="2" borderId="11" xfId="1" applyNumberFormat="1" applyFont="1" applyFill="1" applyBorder="1" applyAlignment="1">
      <alignment horizontal="center"/>
    </xf>
    <xf numFmtId="9" fontId="6" fillId="3" borderId="10" xfId="1" applyNumberFormat="1" applyFont="1" applyFill="1" applyBorder="1" applyAlignment="1">
      <alignment horizontal="center"/>
    </xf>
    <xf numFmtId="166" fontId="6" fillId="2" borderId="4" xfId="0" applyNumberFormat="1" applyFont="1" applyFill="1" applyBorder="1" applyAlignment="1"/>
    <xf numFmtId="166" fontId="11" fillId="0" borderId="4" xfId="0" applyNumberFormat="1" applyFont="1" applyBorder="1" applyAlignment="1"/>
    <xf numFmtId="0" fontId="12" fillId="3" borderId="4" xfId="3" applyFont="1" applyFill="1" applyBorder="1" applyAlignment="1">
      <alignment horizontal="center"/>
    </xf>
    <xf numFmtId="0" fontId="11" fillId="3" borderId="4" xfId="3" applyFont="1" applyFill="1" applyBorder="1" applyAlignment="1">
      <alignment horizontal="center"/>
    </xf>
    <xf numFmtId="0" fontId="13" fillId="0" borderId="0" xfId="0" applyNumberFormat="1" applyFont="1" applyAlignment="1"/>
    <xf numFmtId="0" fontId="14" fillId="0" borderId="0" xfId="0" applyNumberFormat="1" applyFont="1" applyAlignment="1"/>
    <xf numFmtId="9" fontId="11" fillId="3" borderId="2" xfId="0" applyNumberFormat="1" applyFont="1" applyFill="1" applyBorder="1" applyAlignment="1">
      <alignment horizontal="center"/>
    </xf>
    <xf numFmtId="9" fontId="11" fillId="3" borderId="8" xfId="0" applyNumberFormat="1" applyFont="1" applyFill="1" applyBorder="1" applyAlignment="1">
      <alignment horizontal="center"/>
    </xf>
    <xf numFmtId="9" fontId="11" fillId="3" borderId="10" xfId="0" applyNumberFormat="1" applyFont="1" applyFill="1" applyBorder="1" applyAlignment="1">
      <alignment horizontal="center"/>
    </xf>
    <xf numFmtId="0" fontId="15" fillId="0" borderId="0" xfId="3" applyFont="1" applyAlignment="1"/>
    <xf numFmtId="0" fontId="13" fillId="0" borderId="0" xfId="2" applyNumberFormat="1" applyFont="1" applyAlignment="1"/>
    <xf numFmtId="0" fontId="14" fillId="0" borderId="0" xfId="2" applyNumberFormat="1" applyFont="1" applyAlignment="1"/>
    <xf numFmtId="0" fontId="13" fillId="0" borderId="0" xfId="1" applyNumberFormat="1" applyFont="1" applyAlignment="1"/>
    <xf numFmtId="0" fontId="14" fillId="0" borderId="0" xfId="1" applyNumberFormat="1" applyFont="1" applyAlignment="1"/>
    <xf numFmtId="4" fontId="2" fillId="0" borderId="0" xfId="3" applyNumberFormat="1" applyFont="1" applyBorder="1" applyAlignment="1">
      <alignment horizontal="center"/>
    </xf>
    <xf numFmtId="4" fontId="16" fillId="0" borderId="0" xfId="3" applyNumberFormat="1" applyFont="1" applyBorder="1" applyAlignment="1">
      <alignment horizontal="left"/>
    </xf>
    <xf numFmtId="167" fontId="0" fillId="0" borderId="6" xfId="1" applyNumberFormat="1" applyFont="1" applyBorder="1" applyAlignment="1">
      <alignment horizontal="center"/>
    </xf>
    <xf numFmtId="166" fontId="11" fillId="0" borderId="4" xfId="1" applyNumberFormat="1" applyFont="1" applyBorder="1" applyAlignment="1"/>
  </cellXfs>
  <cellStyles count="4">
    <cellStyle name="Normal" xfId="0" builtinId="0"/>
    <cellStyle name="Normal_SLOT STATS" xfId="1"/>
    <cellStyle name="Normal_TABLE STATS" xfId="2"/>
    <cellStyle name="Normal_YTD TAXES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R426"/>
  <sheetViews>
    <sheetView tabSelected="1" showOutlineSymbols="0" zoomScaleNormal="100" workbookViewId="0">
      <selection activeCell="A5" sqref="A5"/>
    </sheetView>
  </sheetViews>
  <sheetFormatPr defaultColWidth="9.6640625" defaultRowHeight="15" x14ac:dyDescent="0.2"/>
  <cols>
    <col min="1" max="1" width="26.44140625" style="3" customWidth="1"/>
    <col min="2" max="2" width="8.6640625" style="3" customWidth="1"/>
    <col min="3" max="4" width="13.6640625" style="3" customWidth="1"/>
    <col min="5" max="5" width="7.6640625" style="3" customWidth="1"/>
    <col min="6" max="7" width="13.6640625" style="3" customWidth="1"/>
    <col min="8" max="8" width="7.6640625" style="3" customWidth="1"/>
    <col min="9" max="10" width="11.6640625" style="3" customWidth="1"/>
    <col min="11" max="12" width="16.6640625" style="199" customWidth="1"/>
    <col min="13" max="13" width="7.6640625" style="3" customWidth="1"/>
    <col min="14" max="14" width="11.6640625" style="3" customWidth="1"/>
    <col min="15" max="15" width="7.6640625" style="3" customWidth="1"/>
    <col min="16" max="16" width="15.6640625" style="3" customWidth="1"/>
    <col min="17" max="17" width="7.6640625" style="3" customWidth="1"/>
    <col min="18" max="16384" width="9.6640625" style="3"/>
  </cols>
  <sheetData>
    <row r="1" spans="1:18" ht="18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192"/>
      <c r="L1" s="192"/>
      <c r="M1" s="2"/>
      <c r="N1" s="2"/>
      <c r="O1" s="2"/>
      <c r="P1" s="2"/>
      <c r="Q1" s="2"/>
      <c r="R1" s="2"/>
    </row>
    <row r="2" spans="1:18" ht="18" customHeight="1" x14ac:dyDescent="0.3">
      <c r="A2" s="4" t="s">
        <v>69</v>
      </c>
      <c r="B2" s="2"/>
      <c r="C2" s="2"/>
      <c r="D2" s="2"/>
      <c r="E2" s="2"/>
      <c r="F2" s="2"/>
      <c r="G2" s="2"/>
      <c r="H2" s="2"/>
      <c r="I2" s="2"/>
      <c r="J2" s="2"/>
      <c r="K2" s="192"/>
      <c r="L2" s="192"/>
      <c r="M2" s="2"/>
      <c r="N2" s="2"/>
      <c r="O2" s="2"/>
      <c r="P2" s="2"/>
      <c r="Q2" s="2"/>
      <c r="R2" s="2"/>
    </row>
    <row r="3" spans="1:18" ht="18" x14ac:dyDescent="0.25">
      <c r="A3" s="277" t="s">
        <v>72</v>
      </c>
      <c r="B3" s="2"/>
      <c r="C3" s="2"/>
      <c r="D3" s="2"/>
      <c r="E3" s="2"/>
      <c r="F3" s="2"/>
      <c r="G3" s="2"/>
      <c r="H3" s="2"/>
      <c r="I3" s="2"/>
      <c r="J3" s="2"/>
      <c r="K3" s="192"/>
      <c r="L3" s="192"/>
      <c r="M3" s="2"/>
      <c r="N3" s="2"/>
      <c r="O3" s="2"/>
      <c r="P3" s="2"/>
      <c r="Q3" s="2"/>
      <c r="R3" s="2"/>
    </row>
    <row r="4" spans="1:18" x14ac:dyDescent="0.2">
      <c r="A4" s="278" t="s">
        <v>73</v>
      </c>
      <c r="B4" s="2"/>
      <c r="C4" s="2"/>
      <c r="D4" s="2"/>
      <c r="E4" s="2"/>
      <c r="F4" s="2"/>
      <c r="G4" s="2"/>
      <c r="H4" s="2"/>
      <c r="I4" s="2"/>
      <c r="J4" s="2"/>
      <c r="K4" s="192"/>
      <c r="L4" s="192"/>
      <c r="M4" s="2"/>
      <c r="N4" s="2"/>
      <c r="O4" s="2"/>
      <c r="P4" s="2"/>
      <c r="Q4" s="2"/>
      <c r="R4" s="2"/>
    </row>
    <row r="5" spans="1:18" ht="15.75" thickBot="1" x14ac:dyDescent="0.25">
      <c r="A5" s="2"/>
      <c r="B5" s="2"/>
      <c r="C5" s="2"/>
      <c r="D5" s="2"/>
      <c r="E5" s="2"/>
      <c r="F5" s="2"/>
      <c r="G5" s="2"/>
      <c r="H5" s="2"/>
      <c r="I5" s="5" t="s">
        <v>1</v>
      </c>
      <c r="J5" s="5" t="s">
        <v>1</v>
      </c>
      <c r="K5" s="192"/>
      <c r="L5" s="192"/>
      <c r="M5" s="2"/>
      <c r="N5" s="2"/>
      <c r="O5" s="2"/>
      <c r="P5" s="2"/>
      <c r="Q5" s="2"/>
      <c r="R5" s="2"/>
    </row>
    <row r="6" spans="1:18" ht="16.5" thickTop="1" x14ac:dyDescent="0.25">
      <c r="A6" s="6"/>
      <c r="B6" s="7" t="s">
        <v>2</v>
      </c>
      <c r="C6" s="7" t="s">
        <v>1</v>
      </c>
      <c r="D6" s="7" t="s">
        <v>3</v>
      </c>
      <c r="E6" s="8"/>
      <c r="F6" s="7" t="s">
        <v>1</v>
      </c>
      <c r="G6" s="7" t="s">
        <v>3</v>
      </c>
      <c r="H6" s="8"/>
      <c r="I6" s="7" t="s">
        <v>4</v>
      </c>
      <c r="J6" s="7" t="s">
        <v>4</v>
      </c>
      <c r="K6" s="193" t="s">
        <v>1</v>
      </c>
      <c r="L6" s="193" t="s">
        <v>3</v>
      </c>
      <c r="M6" s="9"/>
      <c r="N6" s="10"/>
      <c r="R6" s="2"/>
    </row>
    <row r="7" spans="1:18" ht="16.5" thickBot="1" x14ac:dyDescent="0.3">
      <c r="A7" s="11" t="s">
        <v>5</v>
      </c>
      <c r="B7" s="12" t="s">
        <v>6</v>
      </c>
      <c r="C7" s="12" t="s">
        <v>7</v>
      </c>
      <c r="D7" s="12" t="s">
        <v>7</v>
      </c>
      <c r="E7" s="13" t="s">
        <v>8</v>
      </c>
      <c r="F7" s="12" t="s">
        <v>9</v>
      </c>
      <c r="G7" s="12" t="s">
        <v>9</v>
      </c>
      <c r="H7" s="13" t="s">
        <v>8</v>
      </c>
      <c r="I7" s="12" t="s">
        <v>10</v>
      </c>
      <c r="J7" s="12" t="s">
        <v>11</v>
      </c>
      <c r="K7" s="194" t="s">
        <v>12</v>
      </c>
      <c r="L7" s="194" t="s">
        <v>12</v>
      </c>
      <c r="M7" s="14" t="s">
        <v>8</v>
      </c>
      <c r="N7" s="10"/>
      <c r="R7" s="2"/>
    </row>
    <row r="8" spans="1:18" ht="15.75" customHeight="1" thickTop="1" x14ac:dyDescent="0.25">
      <c r="A8" s="15"/>
      <c r="B8" s="16"/>
      <c r="C8" s="16"/>
      <c r="D8" s="16"/>
      <c r="E8" s="17"/>
      <c r="F8" s="16"/>
      <c r="G8" s="16"/>
      <c r="H8" s="17"/>
      <c r="I8" s="16"/>
      <c r="J8" s="16"/>
      <c r="K8" s="195"/>
      <c r="L8" s="195"/>
      <c r="M8" s="18"/>
      <c r="N8" s="10"/>
      <c r="R8" s="2"/>
    </row>
    <row r="9" spans="1:18" ht="15.75" x14ac:dyDescent="0.25">
      <c r="A9" s="19" t="s">
        <v>13</v>
      </c>
      <c r="B9" s="20">
        <f>DATE(2021,7,1)</f>
        <v>44378</v>
      </c>
      <c r="C9" s="21">
        <v>232803</v>
      </c>
      <c r="D9" s="22">
        <v>188333</v>
      </c>
      <c r="E9" s="23">
        <f t="shared" ref="E9:E16" si="0">(+C9-D9)/D9</f>
        <v>0.23612431172444553</v>
      </c>
      <c r="F9" s="21">
        <f>+C9-107437</f>
        <v>125366</v>
      </c>
      <c r="G9" s="21">
        <f>+D9-87391</f>
        <v>100942</v>
      </c>
      <c r="H9" s="23">
        <f t="shared" ref="H9:H16" si="1">(+F9-G9)/G9</f>
        <v>0.24196072992411483</v>
      </c>
      <c r="I9" s="24">
        <f t="shared" ref="I9:I16" si="2">K9/C9</f>
        <v>68.467668414925924</v>
      </c>
      <c r="J9" s="24">
        <f t="shared" ref="J9:J16" si="3">K9/F9</f>
        <v>127.14355255810985</v>
      </c>
      <c r="K9" s="21">
        <v>15939478.609999999</v>
      </c>
      <c r="L9" s="21">
        <v>13615214.890000001</v>
      </c>
      <c r="M9" s="25">
        <f t="shared" ref="M9:M16" si="4">(+K9-L9)/L9</f>
        <v>0.17071076283247694</v>
      </c>
      <c r="N9" s="10"/>
      <c r="R9" s="2"/>
    </row>
    <row r="10" spans="1:18" ht="15.75" x14ac:dyDescent="0.25">
      <c r="A10" s="19"/>
      <c r="B10" s="20">
        <f>DATE(2021,8,1)</f>
        <v>44409</v>
      </c>
      <c r="C10" s="21">
        <v>224849</v>
      </c>
      <c r="D10" s="22">
        <v>193126</v>
      </c>
      <c r="E10" s="23">
        <f t="shared" si="0"/>
        <v>0.16426063813261807</v>
      </c>
      <c r="F10" s="21">
        <f>+C10-102898</f>
        <v>121951</v>
      </c>
      <c r="G10" s="21">
        <f>+D10-88951</f>
        <v>104175</v>
      </c>
      <c r="H10" s="23">
        <f t="shared" si="1"/>
        <v>0.17063594912407007</v>
      </c>
      <c r="I10" s="24">
        <f t="shared" si="2"/>
        <v>67.052097718913572</v>
      </c>
      <c r="J10" s="24">
        <f t="shared" si="3"/>
        <v>123.62831891497405</v>
      </c>
      <c r="K10" s="21">
        <v>15076597.119999999</v>
      </c>
      <c r="L10" s="21">
        <v>12620487.539999999</v>
      </c>
      <c r="M10" s="25">
        <f t="shared" si="4"/>
        <v>0.19461289211018865</v>
      </c>
      <c r="N10" s="10"/>
      <c r="R10" s="2"/>
    </row>
    <row r="11" spans="1:18" ht="15.75" x14ac:dyDescent="0.25">
      <c r="A11" s="19"/>
      <c r="B11" s="20">
        <f>DATE(2021,9,1)</f>
        <v>44440</v>
      </c>
      <c r="C11" s="21">
        <v>206050</v>
      </c>
      <c r="D11" s="22">
        <v>196754</v>
      </c>
      <c r="E11" s="23">
        <f t="shared" si="0"/>
        <v>4.7246815820771115E-2</v>
      </c>
      <c r="F11" s="21">
        <f>+C11-93968</f>
        <v>112082</v>
      </c>
      <c r="G11" s="21">
        <f>+D11-92272</f>
        <v>104482</v>
      </c>
      <c r="H11" s="23">
        <f t="shared" si="1"/>
        <v>7.2739802071170159E-2</v>
      </c>
      <c r="I11" s="24">
        <f t="shared" si="2"/>
        <v>67.344978015044902</v>
      </c>
      <c r="J11" s="24">
        <f t="shared" si="3"/>
        <v>123.8060769793544</v>
      </c>
      <c r="K11" s="21">
        <v>13876432.720000001</v>
      </c>
      <c r="L11" s="21">
        <v>12429246.59</v>
      </c>
      <c r="M11" s="25">
        <f t="shared" si="4"/>
        <v>0.11643393825369433</v>
      </c>
      <c r="N11" s="10"/>
      <c r="R11" s="2"/>
    </row>
    <row r="12" spans="1:18" ht="15.75" x14ac:dyDescent="0.25">
      <c r="A12" s="19"/>
      <c r="B12" s="20">
        <f>DATE(2021,10,1)</f>
        <v>44470</v>
      </c>
      <c r="C12" s="21">
        <v>219538</v>
      </c>
      <c r="D12" s="22">
        <v>203827</v>
      </c>
      <c r="E12" s="23">
        <f t="shared" si="0"/>
        <v>7.7080072806841093E-2</v>
      </c>
      <c r="F12" s="21">
        <f>+C12-100658</f>
        <v>118880</v>
      </c>
      <c r="G12" s="21">
        <f>+D12-94349</f>
        <v>109478</v>
      </c>
      <c r="H12" s="23">
        <f t="shared" si="1"/>
        <v>8.5880268181735137E-2</v>
      </c>
      <c r="I12" s="24">
        <f t="shared" si="2"/>
        <v>69.459368810866451</v>
      </c>
      <c r="J12" s="24">
        <f t="shared" si="3"/>
        <v>128.27196256729476</v>
      </c>
      <c r="K12" s="21">
        <v>15248970.91</v>
      </c>
      <c r="L12" s="21">
        <v>12927551.640000001</v>
      </c>
      <c r="M12" s="25">
        <f t="shared" si="4"/>
        <v>0.17957145596055027</v>
      </c>
      <c r="N12" s="10"/>
      <c r="R12" s="2"/>
    </row>
    <row r="13" spans="1:18" ht="15.75" x14ac:dyDescent="0.25">
      <c r="A13" s="19"/>
      <c r="B13" s="20">
        <f>DATE(2021,11,1)</f>
        <v>44501</v>
      </c>
      <c r="C13" s="21">
        <v>201331</v>
      </c>
      <c r="D13" s="22">
        <v>189148</v>
      </c>
      <c r="E13" s="23">
        <f t="shared" si="0"/>
        <v>6.4409880093894728E-2</v>
      </c>
      <c r="F13" s="21">
        <f>+C13-92874</f>
        <v>108457</v>
      </c>
      <c r="G13" s="21">
        <f>+D13-86903</f>
        <v>102245</v>
      </c>
      <c r="H13" s="23">
        <f t="shared" si="1"/>
        <v>6.0756027189593623E-2</v>
      </c>
      <c r="I13" s="24">
        <f t="shared" si="2"/>
        <v>67.221432069576963</v>
      </c>
      <c r="J13" s="24">
        <f t="shared" si="3"/>
        <v>124.78455185004196</v>
      </c>
      <c r="K13" s="21">
        <v>13533758.140000001</v>
      </c>
      <c r="L13" s="21">
        <v>11277470.82</v>
      </c>
      <c r="M13" s="25">
        <f t="shared" si="4"/>
        <v>0.2000703310177131</v>
      </c>
      <c r="N13" s="10"/>
      <c r="R13" s="2"/>
    </row>
    <row r="14" spans="1:18" ht="15.75" x14ac:dyDescent="0.25">
      <c r="A14" s="19"/>
      <c r="B14" s="20">
        <f>DATE(2021,12,1)</f>
        <v>44531</v>
      </c>
      <c r="C14" s="21">
        <v>212681</v>
      </c>
      <c r="D14" s="22">
        <v>196076</v>
      </c>
      <c r="E14" s="23">
        <f t="shared" si="0"/>
        <v>8.4686550113221404E-2</v>
      </c>
      <c r="F14" s="21">
        <f>+C14-99427</f>
        <v>113254</v>
      </c>
      <c r="G14" s="21">
        <f>+D14-87128</f>
        <v>108948</v>
      </c>
      <c r="H14" s="23">
        <f t="shared" si="1"/>
        <v>3.9523442376179461E-2</v>
      </c>
      <c r="I14" s="24">
        <f t="shared" si="2"/>
        <v>68.696572331331893</v>
      </c>
      <c r="J14" s="24">
        <f t="shared" si="3"/>
        <v>129.00608985113107</v>
      </c>
      <c r="K14" s="21">
        <v>14610455.699999999</v>
      </c>
      <c r="L14" s="21">
        <v>12509643.109999999</v>
      </c>
      <c r="M14" s="25">
        <f t="shared" si="4"/>
        <v>0.16793545359584602</v>
      </c>
      <c r="N14" s="10"/>
      <c r="R14" s="2"/>
    </row>
    <row r="15" spans="1:18" ht="15.75" x14ac:dyDescent="0.25">
      <c r="A15" s="19"/>
      <c r="B15" s="20">
        <f>DATE(2022,1,1)</f>
        <v>44562</v>
      </c>
      <c r="C15" s="21">
        <v>183563</v>
      </c>
      <c r="D15" s="22">
        <v>210729</v>
      </c>
      <c r="E15" s="23">
        <f t="shared" si="0"/>
        <v>-0.12891438767326757</v>
      </c>
      <c r="F15" s="21">
        <f>+C15-87679</f>
        <v>95884</v>
      </c>
      <c r="G15" s="21">
        <f>+D15-99046</f>
        <v>111683</v>
      </c>
      <c r="H15" s="23">
        <f t="shared" si="1"/>
        <v>-0.14146289050258321</v>
      </c>
      <c r="I15" s="24">
        <f t="shared" si="2"/>
        <v>69.318893458921451</v>
      </c>
      <c r="J15" s="24">
        <f t="shared" si="3"/>
        <v>132.7060201910642</v>
      </c>
      <c r="K15" s="21">
        <v>12724384.039999999</v>
      </c>
      <c r="L15" s="21">
        <v>12803823.939999999</v>
      </c>
      <c r="M15" s="25">
        <f t="shared" si="4"/>
        <v>-6.2043886554722788E-3</v>
      </c>
      <c r="N15" s="10"/>
      <c r="R15" s="2"/>
    </row>
    <row r="16" spans="1:18" ht="15.75" x14ac:dyDescent="0.25">
      <c r="A16" s="19"/>
      <c r="B16" s="20">
        <f>DATE(2022,2,1)</f>
        <v>44593</v>
      </c>
      <c r="C16" s="21">
        <v>198133</v>
      </c>
      <c r="D16" s="22">
        <v>178806</v>
      </c>
      <c r="E16" s="23">
        <f t="shared" si="0"/>
        <v>0.10808921400847846</v>
      </c>
      <c r="F16" s="21">
        <f>+C16-96112</f>
        <v>102021</v>
      </c>
      <c r="G16" s="21">
        <f>+D16-83686</f>
        <v>95120</v>
      </c>
      <c r="H16" s="23">
        <f t="shared" si="1"/>
        <v>7.2550462573591254E-2</v>
      </c>
      <c r="I16" s="24">
        <f t="shared" si="2"/>
        <v>70.471993913179531</v>
      </c>
      <c r="J16" s="24">
        <f t="shared" si="3"/>
        <v>136.86228884249323</v>
      </c>
      <c r="K16" s="21">
        <v>13962827.57</v>
      </c>
      <c r="L16" s="21">
        <v>11350808.92</v>
      </c>
      <c r="M16" s="25">
        <f t="shared" si="4"/>
        <v>0.23011740118342158</v>
      </c>
      <c r="N16" s="10"/>
      <c r="R16" s="2"/>
    </row>
    <row r="17" spans="1:18" ht="15.75" customHeight="1" thickBot="1" x14ac:dyDescent="0.3">
      <c r="A17" s="19"/>
      <c r="B17" s="20"/>
      <c r="C17" s="21"/>
      <c r="D17" s="21"/>
      <c r="E17" s="23"/>
      <c r="F17" s="21"/>
      <c r="G17" s="21"/>
      <c r="H17" s="23"/>
      <c r="I17" s="24"/>
      <c r="J17" s="24"/>
      <c r="K17" s="21"/>
      <c r="L17" s="21"/>
      <c r="M17" s="25"/>
      <c r="N17" s="10"/>
      <c r="R17" s="2"/>
    </row>
    <row r="18" spans="1:18" ht="17.25" thickTop="1" thickBot="1" x14ac:dyDescent="0.3">
      <c r="A18" s="26" t="s">
        <v>14</v>
      </c>
      <c r="B18" s="27"/>
      <c r="C18" s="28">
        <f>SUM(C9:C17)</f>
        <v>1678948</v>
      </c>
      <c r="D18" s="28">
        <f>SUM(D9:D17)</f>
        <v>1556799</v>
      </c>
      <c r="E18" s="279">
        <f>(+C18-D18)/D18</f>
        <v>7.8461638271864254E-2</v>
      </c>
      <c r="F18" s="28">
        <f>SUM(F9:F17)</f>
        <v>897895</v>
      </c>
      <c r="G18" s="28">
        <f>SUM(G9:G17)</f>
        <v>837073</v>
      </c>
      <c r="H18" s="30">
        <f>(+F18-G18)/G18</f>
        <v>7.2660329505311969E-2</v>
      </c>
      <c r="I18" s="31">
        <f>K18/C18</f>
        <v>68.479133844526459</v>
      </c>
      <c r="J18" s="31">
        <f>K18/F18</f>
        <v>128.04716009110197</v>
      </c>
      <c r="K18" s="28">
        <f>SUM(K9:K17)</f>
        <v>114972904.81</v>
      </c>
      <c r="L18" s="28">
        <f>SUM(L9:L17)</f>
        <v>99534247.450000003</v>
      </c>
      <c r="M18" s="32">
        <f>(+K18-L18)/L18</f>
        <v>0.15510899771212364</v>
      </c>
      <c r="N18" s="10"/>
      <c r="R18" s="2"/>
    </row>
    <row r="19" spans="1:18" ht="15.75" customHeight="1" thickTop="1" x14ac:dyDescent="0.25">
      <c r="A19" s="15"/>
      <c r="B19" s="16"/>
      <c r="C19" s="16"/>
      <c r="D19" s="16"/>
      <c r="E19" s="17"/>
      <c r="F19" s="16"/>
      <c r="G19" s="16"/>
      <c r="H19" s="17"/>
      <c r="I19" s="16"/>
      <c r="J19" s="16"/>
      <c r="K19" s="195"/>
      <c r="L19" s="195"/>
      <c r="M19" s="18"/>
      <c r="N19" s="10"/>
      <c r="R19" s="2"/>
    </row>
    <row r="20" spans="1:18" ht="15.75" x14ac:dyDescent="0.25">
      <c r="A20" s="19" t="s">
        <v>15</v>
      </c>
      <c r="B20" s="20">
        <f>DATE(2021,7,1)</f>
        <v>44378</v>
      </c>
      <c r="C20" s="21">
        <v>116107</v>
      </c>
      <c r="D20" s="21">
        <v>79471</v>
      </c>
      <c r="E20" s="23">
        <f t="shared" ref="E20:E27" si="5">(+C20-D20)/D20</f>
        <v>0.46099835159995473</v>
      </c>
      <c r="F20" s="21">
        <f>+C20-56210</f>
        <v>59897</v>
      </c>
      <c r="G20" s="21">
        <f>+D20-38596</f>
        <v>40875</v>
      </c>
      <c r="H20" s="23">
        <f t="shared" ref="H20:H27" si="6">(+F20-G20)/G20</f>
        <v>0.46537003058103976</v>
      </c>
      <c r="I20" s="24">
        <f t="shared" ref="I20:I27" si="7">K20/C20</f>
        <v>69.409558855193922</v>
      </c>
      <c r="J20" s="24">
        <f t="shared" ref="J20:J27" si="8">K20/F20</f>
        <v>134.54656577124064</v>
      </c>
      <c r="K20" s="21">
        <v>8058935.6500000004</v>
      </c>
      <c r="L20" s="21">
        <v>5613318.0300000003</v>
      </c>
      <c r="M20" s="25">
        <f t="shared" ref="M20:M27" si="9">(+K20-L20)/L20</f>
        <v>0.43568128634963516</v>
      </c>
      <c r="N20" s="10"/>
      <c r="R20" s="2"/>
    </row>
    <row r="21" spans="1:18" ht="15.75" x14ac:dyDescent="0.25">
      <c r="A21" s="19"/>
      <c r="B21" s="20">
        <f>DATE(2021,8,1)</f>
        <v>44409</v>
      </c>
      <c r="C21" s="21">
        <v>103353</v>
      </c>
      <c r="D21" s="21">
        <v>88234</v>
      </c>
      <c r="E21" s="23">
        <f t="shared" si="5"/>
        <v>0.17135117981730399</v>
      </c>
      <c r="F21" s="21">
        <f>+C21-50446</f>
        <v>52907</v>
      </c>
      <c r="G21" s="21">
        <f>+D21-41802</f>
        <v>46432</v>
      </c>
      <c r="H21" s="23">
        <f t="shared" si="6"/>
        <v>0.13945124052377669</v>
      </c>
      <c r="I21" s="24">
        <f t="shared" si="7"/>
        <v>69.568823449730544</v>
      </c>
      <c r="J21" s="24">
        <f t="shared" si="8"/>
        <v>135.90161245203848</v>
      </c>
      <c r="K21" s="21">
        <v>7190146.6100000003</v>
      </c>
      <c r="L21" s="21">
        <v>5994552.2300000004</v>
      </c>
      <c r="M21" s="25">
        <f t="shared" si="9"/>
        <v>0.19944682006715952</v>
      </c>
      <c r="N21" s="10"/>
      <c r="R21" s="2"/>
    </row>
    <row r="22" spans="1:18" ht="15.75" x14ac:dyDescent="0.25">
      <c r="A22" s="19"/>
      <c r="B22" s="20">
        <f>DATE(2021,9,1)</f>
        <v>44440</v>
      </c>
      <c r="C22" s="21">
        <v>103596</v>
      </c>
      <c r="D22" s="21">
        <v>90948</v>
      </c>
      <c r="E22" s="23">
        <f t="shared" si="5"/>
        <v>0.13906847869112021</v>
      </c>
      <c r="F22" s="21">
        <f>+C22-49808</f>
        <v>53788</v>
      </c>
      <c r="G22" s="21">
        <f>+D22-42310</f>
        <v>48638</v>
      </c>
      <c r="H22" s="23">
        <f t="shared" si="6"/>
        <v>0.10588428800526338</v>
      </c>
      <c r="I22" s="24">
        <f t="shared" si="7"/>
        <v>73.648616838487982</v>
      </c>
      <c r="J22" s="24">
        <f t="shared" si="8"/>
        <v>141.84766323343499</v>
      </c>
      <c r="K22" s="21">
        <v>7629702.1100000003</v>
      </c>
      <c r="L22" s="21">
        <v>5908744.6600000001</v>
      </c>
      <c r="M22" s="25">
        <f t="shared" si="9"/>
        <v>0.29125601951464258</v>
      </c>
      <c r="N22" s="10"/>
      <c r="R22" s="2"/>
    </row>
    <row r="23" spans="1:18" ht="15.75" x14ac:dyDescent="0.25">
      <c r="A23" s="19"/>
      <c r="B23" s="20">
        <f>DATE(2021,10,1)</f>
        <v>44470</v>
      </c>
      <c r="C23" s="21">
        <v>110079</v>
      </c>
      <c r="D23" s="21">
        <v>87099</v>
      </c>
      <c r="E23" s="23">
        <f t="shared" si="5"/>
        <v>0.26383770192539524</v>
      </c>
      <c r="F23" s="21">
        <f>+C23-53226</f>
        <v>56853</v>
      </c>
      <c r="G23" s="21">
        <f>+D23-41806</f>
        <v>45293</v>
      </c>
      <c r="H23" s="23">
        <f t="shared" si="6"/>
        <v>0.25522707703177089</v>
      </c>
      <c r="I23" s="24">
        <f t="shared" si="7"/>
        <v>71.212890378728005</v>
      </c>
      <c r="J23" s="24">
        <f t="shared" si="8"/>
        <v>137.88267567234797</v>
      </c>
      <c r="K23" s="21">
        <v>7839043.7599999998</v>
      </c>
      <c r="L23" s="21">
        <v>5716409.8899999997</v>
      </c>
      <c r="M23" s="25">
        <f t="shared" si="9"/>
        <v>0.37132289511170802</v>
      </c>
      <c r="N23" s="10"/>
      <c r="R23" s="2"/>
    </row>
    <row r="24" spans="1:18" ht="15.75" x14ac:dyDescent="0.25">
      <c r="A24" s="19"/>
      <c r="B24" s="20">
        <f>DATE(2021,11,1)</f>
        <v>44501</v>
      </c>
      <c r="C24" s="21">
        <v>95314</v>
      </c>
      <c r="D24" s="21">
        <v>77783</v>
      </c>
      <c r="E24" s="23">
        <f t="shared" si="5"/>
        <v>0.22538343854055515</v>
      </c>
      <c r="F24" s="21">
        <f>+C24-46228</f>
        <v>49086</v>
      </c>
      <c r="G24" s="21">
        <f>+D24-37695</f>
        <v>40088</v>
      </c>
      <c r="H24" s="23">
        <f t="shared" si="6"/>
        <v>0.22445619636799041</v>
      </c>
      <c r="I24" s="24">
        <f t="shared" si="7"/>
        <v>71.301824915542312</v>
      </c>
      <c r="J24" s="24">
        <f t="shared" si="8"/>
        <v>138.45214806665851</v>
      </c>
      <c r="K24" s="21">
        <v>6796062.1399999997</v>
      </c>
      <c r="L24" s="21">
        <v>5349459.87</v>
      </c>
      <c r="M24" s="25">
        <f t="shared" si="9"/>
        <v>0.27042024898861416</v>
      </c>
      <c r="N24" s="10"/>
      <c r="R24" s="2"/>
    </row>
    <row r="25" spans="1:18" ht="15.75" x14ac:dyDescent="0.25">
      <c r="A25" s="19"/>
      <c r="B25" s="20">
        <f>DATE(2021,12,1)</f>
        <v>44531</v>
      </c>
      <c r="C25" s="21">
        <v>104553</v>
      </c>
      <c r="D25" s="21">
        <v>82440</v>
      </c>
      <c r="E25" s="23">
        <f t="shared" si="5"/>
        <v>0.26823144104803492</v>
      </c>
      <c r="F25" s="21">
        <f>+C25-51073</f>
        <v>53480</v>
      </c>
      <c r="G25" s="21">
        <f>+D25-39978</f>
        <v>42462</v>
      </c>
      <c r="H25" s="23">
        <f t="shared" si="6"/>
        <v>0.25947906363336631</v>
      </c>
      <c r="I25" s="24">
        <f t="shared" si="7"/>
        <v>70.66472411121633</v>
      </c>
      <c r="J25" s="24">
        <f t="shared" si="8"/>
        <v>138.14900710545999</v>
      </c>
      <c r="K25" s="21">
        <v>7388208.9000000004</v>
      </c>
      <c r="L25" s="21">
        <v>5764475.4900000002</v>
      </c>
      <c r="M25" s="25">
        <f t="shared" si="9"/>
        <v>0.28167929811078096</v>
      </c>
      <c r="N25" s="10"/>
      <c r="R25" s="2"/>
    </row>
    <row r="26" spans="1:18" ht="15.75" x14ac:dyDescent="0.25">
      <c r="A26" s="19"/>
      <c r="B26" s="20">
        <f>DATE(2022,1,1)</f>
        <v>44562</v>
      </c>
      <c r="C26" s="21">
        <v>85873</v>
      </c>
      <c r="D26" s="21">
        <v>104157</v>
      </c>
      <c r="E26" s="23">
        <f t="shared" si="5"/>
        <v>-0.17554269036166556</v>
      </c>
      <c r="F26" s="21">
        <f>+C26-42515</f>
        <v>43358</v>
      </c>
      <c r="G26" s="21">
        <f>+D26-51234</f>
        <v>52923</v>
      </c>
      <c r="H26" s="23">
        <f t="shared" si="6"/>
        <v>-0.18073427432307315</v>
      </c>
      <c r="I26" s="24">
        <f t="shared" si="7"/>
        <v>77.585395991755263</v>
      </c>
      <c r="J26" s="24">
        <f t="shared" si="8"/>
        <v>153.66231629687715</v>
      </c>
      <c r="K26" s="21">
        <v>6662490.71</v>
      </c>
      <c r="L26" s="21">
        <v>7090798.7999999998</v>
      </c>
      <c r="M26" s="25">
        <f t="shared" si="9"/>
        <v>-6.0403362453324706E-2</v>
      </c>
      <c r="N26" s="10"/>
      <c r="R26" s="2"/>
    </row>
    <row r="27" spans="1:18" ht="15.75" x14ac:dyDescent="0.25">
      <c r="A27" s="19"/>
      <c r="B27" s="20">
        <f>DATE(2022,2,1)</f>
        <v>44593</v>
      </c>
      <c r="C27" s="21">
        <v>95434</v>
      </c>
      <c r="D27" s="21">
        <v>88005</v>
      </c>
      <c r="E27" s="23">
        <f t="shared" si="5"/>
        <v>8.4415658201238572E-2</v>
      </c>
      <c r="F27" s="21">
        <f>+C27-47101</f>
        <v>48333</v>
      </c>
      <c r="G27" s="21">
        <f>+D27-42481</f>
        <v>45524</v>
      </c>
      <c r="H27" s="23">
        <f t="shared" si="6"/>
        <v>6.1703716720850538E-2</v>
      </c>
      <c r="I27" s="24">
        <f t="shared" si="7"/>
        <v>69.159599409015655</v>
      </c>
      <c r="J27" s="24">
        <f t="shared" si="8"/>
        <v>136.55633231953323</v>
      </c>
      <c r="K27" s="21">
        <v>6600177.21</v>
      </c>
      <c r="L27" s="21">
        <v>5981667.3499999996</v>
      </c>
      <c r="M27" s="25">
        <f t="shared" si="9"/>
        <v>0.10340091212193543</v>
      </c>
      <c r="N27" s="10"/>
      <c r="R27" s="2"/>
    </row>
    <row r="28" spans="1:18" ht="15.75" customHeight="1" thickBot="1" x14ac:dyDescent="0.3">
      <c r="A28" s="19"/>
      <c r="B28" s="20"/>
      <c r="C28" s="21"/>
      <c r="D28" s="21"/>
      <c r="E28" s="23"/>
      <c r="F28" s="21"/>
      <c r="G28" s="21"/>
      <c r="H28" s="23"/>
      <c r="I28" s="24"/>
      <c r="J28" s="24"/>
      <c r="K28" s="21"/>
      <c r="L28" s="21"/>
      <c r="M28" s="25"/>
      <c r="N28" s="10"/>
      <c r="R28" s="2"/>
    </row>
    <row r="29" spans="1:18" ht="17.25" customHeight="1" thickTop="1" thickBot="1" x14ac:dyDescent="0.3">
      <c r="A29" s="26" t="s">
        <v>14</v>
      </c>
      <c r="B29" s="27"/>
      <c r="C29" s="28">
        <f>SUM(C20:C28)</f>
        <v>814309</v>
      </c>
      <c r="D29" s="28">
        <f>SUM(D20:D28)</f>
        <v>698137</v>
      </c>
      <c r="E29" s="279">
        <f>(+C29-D29)/D29</f>
        <v>0.16640286935085807</v>
      </c>
      <c r="F29" s="28">
        <f>SUM(F20:F28)</f>
        <v>417702</v>
      </c>
      <c r="G29" s="28">
        <f>SUM(G20:G28)</f>
        <v>362235</v>
      </c>
      <c r="H29" s="30">
        <f>(+F29-G29)/G29</f>
        <v>0.15312435297527849</v>
      </c>
      <c r="I29" s="31">
        <f>K29/C29</f>
        <v>71.428373123715943</v>
      </c>
      <c r="J29" s="31">
        <f>K29/F29</f>
        <v>139.24943402234129</v>
      </c>
      <c r="K29" s="28">
        <f>SUM(K20:K28)</f>
        <v>58164767.090000004</v>
      </c>
      <c r="L29" s="28">
        <f>SUM(L20:L28)</f>
        <v>47419426.32</v>
      </c>
      <c r="M29" s="32">
        <f>(+K29-L29)/L29</f>
        <v>0.22660208281490662</v>
      </c>
      <c r="N29" s="10"/>
      <c r="R29" s="2"/>
    </row>
    <row r="30" spans="1:18" ht="15.75" customHeight="1" thickTop="1" x14ac:dyDescent="0.25">
      <c r="A30" s="33"/>
      <c r="B30" s="34"/>
      <c r="C30" s="35"/>
      <c r="D30" s="35"/>
      <c r="E30" s="29"/>
      <c r="F30" s="35"/>
      <c r="G30" s="35"/>
      <c r="H30" s="29"/>
      <c r="I30" s="36"/>
      <c r="J30" s="36"/>
      <c r="K30" s="35"/>
      <c r="L30" s="35"/>
      <c r="M30" s="37"/>
      <c r="N30" s="10"/>
      <c r="R30" s="2"/>
    </row>
    <row r="31" spans="1:18" ht="15.75" customHeight="1" x14ac:dyDescent="0.25">
      <c r="A31" s="19" t="s">
        <v>64</v>
      </c>
      <c r="B31" s="20">
        <f>DATE(2021,7,1)</f>
        <v>44378</v>
      </c>
      <c r="C31" s="21">
        <v>66837</v>
      </c>
      <c r="D31" s="21">
        <v>53105</v>
      </c>
      <c r="E31" s="23">
        <f t="shared" ref="E31:E38" si="10">(+C31-D31)/D31</f>
        <v>0.25858205442048771</v>
      </c>
      <c r="F31" s="21">
        <f>+C31-37212</f>
        <v>29625</v>
      </c>
      <c r="G31" s="21">
        <f>+D31-28880</f>
        <v>24225</v>
      </c>
      <c r="H31" s="23">
        <f t="shared" ref="H31:H38" si="11">(+F31-G31)/G31</f>
        <v>0.22291021671826625</v>
      </c>
      <c r="I31" s="24">
        <f t="shared" ref="I31:I38" si="12">K31/C31</f>
        <v>68.824348040755865</v>
      </c>
      <c r="J31" s="24">
        <f t="shared" ref="J31:J38" si="13">K31/F31</f>
        <v>155.27469873417724</v>
      </c>
      <c r="K31" s="21">
        <v>4600012.95</v>
      </c>
      <c r="L31" s="21">
        <v>3467756.6</v>
      </c>
      <c r="M31" s="25">
        <f t="shared" ref="M31:M38" si="14">(+K31-L31)/L31</f>
        <v>0.32650975273178057</v>
      </c>
      <c r="N31" s="10"/>
      <c r="R31" s="2"/>
    </row>
    <row r="32" spans="1:18" ht="15.75" customHeight="1" x14ac:dyDescent="0.25">
      <c r="A32" s="19"/>
      <c r="B32" s="20">
        <f>DATE(2021,8,1)</f>
        <v>44409</v>
      </c>
      <c r="C32" s="21">
        <v>56112</v>
      </c>
      <c r="D32" s="21">
        <v>52610</v>
      </c>
      <c r="E32" s="23">
        <f t="shared" si="10"/>
        <v>6.6565291769625543E-2</v>
      </c>
      <c r="F32" s="21">
        <f>+C32-31048</f>
        <v>25064</v>
      </c>
      <c r="G32" s="21">
        <f>+D32-28661</f>
        <v>23949</v>
      </c>
      <c r="H32" s="23">
        <f t="shared" si="11"/>
        <v>4.6557267526827845E-2</v>
      </c>
      <c r="I32" s="24">
        <f t="shared" si="12"/>
        <v>68.400653870829771</v>
      </c>
      <c r="J32" s="24">
        <f t="shared" si="13"/>
        <v>153.13188198212578</v>
      </c>
      <c r="K32" s="21">
        <v>3838097.49</v>
      </c>
      <c r="L32" s="21">
        <v>3296321</v>
      </c>
      <c r="M32" s="25">
        <f t="shared" si="14"/>
        <v>0.16435792812653871</v>
      </c>
      <c r="N32" s="10"/>
      <c r="R32" s="2"/>
    </row>
    <row r="33" spans="1:18" ht="15.75" customHeight="1" x14ac:dyDescent="0.25">
      <c r="A33" s="19"/>
      <c r="B33" s="20">
        <f>DATE(2021,9,1)</f>
        <v>44440</v>
      </c>
      <c r="C33" s="21">
        <v>58084</v>
      </c>
      <c r="D33" s="21">
        <v>50852</v>
      </c>
      <c r="E33" s="23">
        <f t="shared" si="10"/>
        <v>0.14221662864784079</v>
      </c>
      <c r="F33" s="21">
        <f>+C33-32339</f>
        <v>25745</v>
      </c>
      <c r="G33" s="21">
        <f>+D33-27986</f>
        <v>22866</v>
      </c>
      <c r="H33" s="23">
        <f t="shared" si="11"/>
        <v>0.12590746085891716</v>
      </c>
      <c r="I33" s="24">
        <f t="shared" si="12"/>
        <v>70.357005199366441</v>
      </c>
      <c r="J33" s="24">
        <f t="shared" si="13"/>
        <v>158.73436744999029</v>
      </c>
      <c r="K33" s="21">
        <v>4086616.29</v>
      </c>
      <c r="L33" s="21">
        <v>3100357.68</v>
      </c>
      <c r="M33" s="25">
        <f t="shared" si="14"/>
        <v>0.31811123483016962</v>
      </c>
      <c r="N33" s="10"/>
      <c r="R33" s="2"/>
    </row>
    <row r="34" spans="1:18" ht="15.75" customHeight="1" x14ac:dyDescent="0.25">
      <c r="A34" s="19"/>
      <c r="B34" s="20">
        <f>DATE(2021,10,1)</f>
        <v>44470</v>
      </c>
      <c r="C34" s="21">
        <v>57860</v>
      </c>
      <c r="D34" s="21">
        <v>51263</v>
      </c>
      <c r="E34" s="23">
        <f t="shared" si="10"/>
        <v>0.12868930807795095</v>
      </c>
      <c r="F34" s="21">
        <f>+C34-32287</f>
        <v>25573</v>
      </c>
      <c r="G34" s="21">
        <f>+D34-28269</f>
        <v>22994</v>
      </c>
      <c r="H34" s="23">
        <f t="shared" si="11"/>
        <v>0.11215969383317387</v>
      </c>
      <c r="I34" s="24">
        <f t="shared" si="12"/>
        <v>70.911935879709645</v>
      </c>
      <c r="J34" s="24">
        <f t="shared" si="13"/>
        <v>160.44127048058499</v>
      </c>
      <c r="K34" s="21">
        <v>4102964.61</v>
      </c>
      <c r="L34" s="21">
        <v>3378391.93</v>
      </c>
      <c r="M34" s="25">
        <f t="shared" si="14"/>
        <v>0.21447265297013648</v>
      </c>
      <c r="N34" s="10"/>
      <c r="R34" s="2"/>
    </row>
    <row r="35" spans="1:18" ht="15.75" customHeight="1" x14ac:dyDescent="0.25">
      <c r="A35" s="19"/>
      <c r="B35" s="20">
        <f>DATE(2021,11,1)</f>
        <v>44501</v>
      </c>
      <c r="C35" s="21">
        <v>51753</v>
      </c>
      <c r="D35" s="21">
        <v>45747</v>
      </c>
      <c r="E35" s="23">
        <f t="shared" si="10"/>
        <v>0.13128729752770674</v>
      </c>
      <c r="F35" s="21">
        <f>+C35-28958</f>
        <v>22795</v>
      </c>
      <c r="G35" s="21">
        <f>+D35-25343</f>
        <v>20404</v>
      </c>
      <c r="H35" s="23">
        <f t="shared" si="11"/>
        <v>0.11718290531268379</v>
      </c>
      <c r="I35" s="24">
        <f t="shared" si="12"/>
        <v>71.423434003825861</v>
      </c>
      <c r="J35" s="24">
        <f t="shared" si="13"/>
        <v>162.15735819258609</v>
      </c>
      <c r="K35" s="21">
        <v>3696376.98</v>
      </c>
      <c r="L35" s="21">
        <v>3048022.62</v>
      </c>
      <c r="M35" s="25">
        <f t="shared" si="14"/>
        <v>0.21271310644013522</v>
      </c>
      <c r="N35" s="10"/>
      <c r="R35" s="2"/>
    </row>
    <row r="36" spans="1:18" ht="15.75" customHeight="1" x14ac:dyDescent="0.25">
      <c r="A36" s="19"/>
      <c r="B36" s="20">
        <f>DATE(2021,12,1)</f>
        <v>44531</v>
      </c>
      <c r="C36" s="21">
        <v>57109</v>
      </c>
      <c r="D36" s="21">
        <v>50018</v>
      </c>
      <c r="E36" s="23">
        <f t="shared" si="10"/>
        <v>0.14176896317325763</v>
      </c>
      <c r="F36" s="21">
        <f>+C36-32118</f>
        <v>24991</v>
      </c>
      <c r="G36" s="21">
        <f>+D36-28141</f>
        <v>21877</v>
      </c>
      <c r="H36" s="23">
        <f t="shared" si="11"/>
        <v>0.14234127165516294</v>
      </c>
      <c r="I36" s="24">
        <f t="shared" si="12"/>
        <v>68.902578577807347</v>
      </c>
      <c r="J36" s="24">
        <f t="shared" si="13"/>
        <v>157.45497819214916</v>
      </c>
      <c r="K36" s="21">
        <v>3934957.36</v>
      </c>
      <c r="L36" s="21">
        <v>3361201.53</v>
      </c>
      <c r="M36" s="25">
        <f t="shared" si="14"/>
        <v>0.17069962181053752</v>
      </c>
      <c r="N36" s="10"/>
      <c r="R36" s="2"/>
    </row>
    <row r="37" spans="1:18" ht="15.75" customHeight="1" x14ac:dyDescent="0.25">
      <c r="A37" s="19"/>
      <c r="B37" s="20">
        <f>DATE(2022,1,1)</f>
        <v>44562</v>
      </c>
      <c r="C37" s="21">
        <v>47271</v>
      </c>
      <c r="D37" s="21">
        <v>63172</v>
      </c>
      <c r="E37" s="23">
        <f t="shared" si="10"/>
        <v>-0.25170961818527193</v>
      </c>
      <c r="F37" s="21">
        <f>+C37-26698</f>
        <v>20573</v>
      </c>
      <c r="G37" s="21">
        <f>+D37-35403</f>
        <v>27769</v>
      </c>
      <c r="H37" s="23">
        <f t="shared" si="11"/>
        <v>-0.25913788757247291</v>
      </c>
      <c r="I37" s="24">
        <f t="shared" si="12"/>
        <v>72.671013094709224</v>
      </c>
      <c r="J37" s="24">
        <f t="shared" si="13"/>
        <v>166.97766295630194</v>
      </c>
      <c r="K37" s="21">
        <v>3435231.46</v>
      </c>
      <c r="L37" s="21">
        <v>4085224.99</v>
      </c>
      <c r="M37" s="25">
        <f t="shared" si="14"/>
        <v>-0.15910837997688843</v>
      </c>
      <c r="N37" s="10"/>
      <c r="R37" s="2"/>
    </row>
    <row r="38" spans="1:18" ht="15.75" customHeight="1" x14ac:dyDescent="0.25">
      <c r="A38" s="19"/>
      <c r="B38" s="20">
        <f>DATE(2022,2,1)</f>
        <v>44593</v>
      </c>
      <c r="C38" s="21">
        <v>51279</v>
      </c>
      <c r="D38" s="21">
        <v>41909</v>
      </c>
      <c r="E38" s="23">
        <f t="shared" si="10"/>
        <v>0.22357966069340715</v>
      </c>
      <c r="F38" s="21">
        <f>+C38-29313</f>
        <v>21966</v>
      </c>
      <c r="G38" s="21">
        <f>+D38-23822</f>
        <v>18087</v>
      </c>
      <c r="H38" s="23">
        <f t="shared" si="11"/>
        <v>0.21446342677060873</v>
      </c>
      <c r="I38" s="24">
        <f t="shared" si="12"/>
        <v>73.898556914136392</v>
      </c>
      <c r="J38" s="24">
        <f t="shared" si="13"/>
        <v>172.51407174724574</v>
      </c>
      <c r="K38" s="21">
        <v>3789444.1</v>
      </c>
      <c r="L38" s="21">
        <v>3031713.02</v>
      </c>
      <c r="M38" s="25">
        <f t="shared" si="14"/>
        <v>0.2499349625117222</v>
      </c>
      <c r="N38" s="10"/>
      <c r="R38" s="2"/>
    </row>
    <row r="39" spans="1:18" ht="15.75" customHeight="1" thickBot="1" x14ac:dyDescent="0.25">
      <c r="A39" s="38"/>
      <c r="B39" s="20"/>
      <c r="C39" s="21"/>
      <c r="D39" s="21"/>
      <c r="E39" s="23"/>
      <c r="F39" s="21"/>
      <c r="G39" s="21"/>
      <c r="H39" s="23"/>
      <c r="I39" s="24"/>
      <c r="J39" s="24"/>
      <c r="K39" s="21"/>
      <c r="L39" s="21"/>
      <c r="M39" s="25"/>
      <c r="N39" s="10"/>
      <c r="R39" s="2"/>
    </row>
    <row r="40" spans="1:18" ht="17.25" customHeight="1" thickTop="1" thickBot="1" x14ac:dyDescent="0.3">
      <c r="A40" s="39" t="s">
        <v>14</v>
      </c>
      <c r="B40" s="40"/>
      <c r="C40" s="41">
        <f>SUM(C31:C39)</f>
        <v>446305</v>
      </c>
      <c r="D40" s="41">
        <f>SUM(D31:D39)</f>
        <v>408676</v>
      </c>
      <c r="E40" s="280">
        <f>(+C40-D40)/D40</f>
        <v>9.2075384901486756E-2</v>
      </c>
      <c r="F40" s="41">
        <f>SUM(F31:F39)</f>
        <v>196332</v>
      </c>
      <c r="G40" s="41">
        <f>SUM(G31:G39)</f>
        <v>182171</v>
      </c>
      <c r="H40" s="42">
        <f>(+F40-G40)/G40</f>
        <v>7.7734655900225616E-2</v>
      </c>
      <c r="I40" s="43">
        <f>K40/C40</f>
        <v>70.543017084729058</v>
      </c>
      <c r="J40" s="43">
        <f>K40/F40</f>
        <v>160.3594994193509</v>
      </c>
      <c r="K40" s="41">
        <f>SUM(K31:K39)</f>
        <v>31483701.240000002</v>
      </c>
      <c r="L40" s="41">
        <f>SUM(L31:L39)</f>
        <v>26768989.370000001</v>
      </c>
      <c r="M40" s="44">
        <f>(+K40-L40)/L40</f>
        <v>0.17612588226000708</v>
      </c>
      <c r="N40" s="10"/>
      <c r="R40" s="2"/>
    </row>
    <row r="41" spans="1:18" ht="15.75" customHeight="1" thickTop="1" x14ac:dyDescent="0.2">
      <c r="A41" s="38"/>
      <c r="B41" s="45"/>
      <c r="C41" s="21"/>
      <c r="D41" s="21"/>
      <c r="E41" s="23"/>
      <c r="F41" s="21"/>
      <c r="G41" s="21"/>
      <c r="H41" s="23"/>
      <c r="I41" s="24"/>
      <c r="J41" s="24"/>
      <c r="K41" s="21"/>
      <c r="L41" s="21"/>
      <c r="M41" s="25"/>
      <c r="N41" s="10"/>
      <c r="R41" s="2"/>
    </row>
    <row r="42" spans="1:18" ht="15.75" customHeight="1" x14ac:dyDescent="0.25">
      <c r="A42" s="177" t="s">
        <v>59</v>
      </c>
      <c r="B42" s="20">
        <f>DATE(2021,7,1)</f>
        <v>44378</v>
      </c>
      <c r="C42" s="21">
        <v>337225</v>
      </c>
      <c r="D42" s="21">
        <v>226236</v>
      </c>
      <c r="E42" s="23">
        <f t="shared" ref="E42:E49" si="15">(+C42-D42)/D42</f>
        <v>0.49058947293976202</v>
      </c>
      <c r="F42" s="21">
        <f>+C42-176904</f>
        <v>160321</v>
      </c>
      <c r="G42" s="21">
        <f>+D42-121061</f>
        <v>105175</v>
      </c>
      <c r="H42" s="23">
        <f t="shared" ref="H42:H49" si="16">(+F42-G42)/G42</f>
        <v>0.52432612312811977</v>
      </c>
      <c r="I42" s="24">
        <f t="shared" ref="I42:I49" si="17">K42/C42</f>
        <v>57.210146252502042</v>
      </c>
      <c r="J42" s="24">
        <f t="shared" ref="J42:J49" si="18">K42/F42</f>
        <v>120.33789441183626</v>
      </c>
      <c r="K42" s="21">
        <v>19292691.57</v>
      </c>
      <c r="L42" s="21">
        <v>14578930.949999999</v>
      </c>
      <c r="M42" s="25">
        <f t="shared" ref="M42:M49" si="19">(+K42-L42)/L42</f>
        <v>0.32332690484414439</v>
      </c>
      <c r="N42" s="10"/>
      <c r="R42" s="2"/>
    </row>
    <row r="43" spans="1:18" ht="15.75" customHeight="1" x14ac:dyDescent="0.25">
      <c r="A43" s="177"/>
      <c r="B43" s="20">
        <f>DATE(2021,8,1)</f>
        <v>44409</v>
      </c>
      <c r="C43" s="21">
        <v>302300</v>
      </c>
      <c r="D43" s="21">
        <v>248866</v>
      </c>
      <c r="E43" s="23">
        <f t="shared" si="15"/>
        <v>0.21470992421624488</v>
      </c>
      <c r="F43" s="21">
        <f>+C43-157033</f>
        <v>145267</v>
      </c>
      <c r="G43" s="21">
        <f>+D43-132898</f>
        <v>115968</v>
      </c>
      <c r="H43" s="23">
        <f t="shared" si="16"/>
        <v>0.25264728200883002</v>
      </c>
      <c r="I43" s="24">
        <f t="shared" si="17"/>
        <v>58.274154581541517</v>
      </c>
      <c r="J43" s="24">
        <f t="shared" si="18"/>
        <v>121.26826416185369</v>
      </c>
      <c r="K43" s="21">
        <v>17616276.93</v>
      </c>
      <c r="L43" s="21">
        <v>15099078.17</v>
      </c>
      <c r="M43" s="25">
        <f t="shared" si="19"/>
        <v>0.16671208213236238</v>
      </c>
      <c r="N43" s="10"/>
      <c r="R43" s="2"/>
    </row>
    <row r="44" spans="1:18" ht="15.75" customHeight="1" x14ac:dyDescent="0.25">
      <c r="A44" s="177"/>
      <c r="B44" s="20">
        <f>DATE(2021,9,1)</f>
        <v>44440</v>
      </c>
      <c r="C44" s="21">
        <v>336142</v>
      </c>
      <c r="D44" s="21">
        <v>249571</v>
      </c>
      <c r="E44" s="23">
        <f t="shared" si="15"/>
        <v>0.34687924478404941</v>
      </c>
      <c r="F44" s="21">
        <f>+C44-171648</f>
        <v>164494</v>
      </c>
      <c r="G44" s="21">
        <f>+D44-130815</f>
        <v>118756</v>
      </c>
      <c r="H44" s="23">
        <f t="shared" si="16"/>
        <v>0.38514264542423121</v>
      </c>
      <c r="I44" s="24">
        <f t="shared" si="17"/>
        <v>57.682278977336964</v>
      </c>
      <c r="J44" s="24">
        <f t="shared" si="18"/>
        <v>117.87321495008938</v>
      </c>
      <c r="K44" s="21">
        <v>19389436.620000001</v>
      </c>
      <c r="L44" s="21">
        <v>14932529.18</v>
      </c>
      <c r="M44" s="25">
        <f t="shared" si="19"/>
        <v>0.29846969567415249</v>
      </c>
      <c r="N44" s="10"/>
      <c r="R44" s="2"/>
    </row>
    <row r="45" spans="1:18" ht="15.75" customHeight="1" x14ac:dyDescent="0.25">
      <c r="A45" s="177"/>
      <c r="B45" s="20">
        <f>DATE(2021,10,1)</f>
        <v>44470</v>
      </c>
      <c r="C45" s="21">
        <v>333807</v>
      </c>
      <c r="D45" s="21">
        <v>272084</v>
      </c>
      <c r="E45" s="23">
        <f t="shared" si="15"/>
        <v>0.22685273665485658</v>
      </c>
      <c r="F45" s="21">
        <f>+C45-175822</f>
        <v>157985</v>
      </c>
      <c r="G45" s="21">
        <f>+D45-143559</f>
        <v>128525</v>
      </c>
      <c r="H45" s="23">
        <f t="shared" si="16"/>
        <v>0.22921610581598911</v>
      </c>
      <c r="I45" s="24">
        <f t="shared" si="17"/>
        <v>57.441650354845763</v>
      </c>
      <c r="J45" s="24">
        <f t="shared" si="18"/>
        <v>121.36864246605691</v>
      </c>
      <c r="K45" s="21">
        <v>19174424.98</v>
      </c>
      <c r="L45" s="21">
        <v>15864682.439999999</v>
      </c>
      <c r="M45" s="25">
        <f t="shared" si="19"/>
        <v>0.20862330856715219</v>
      </c>
      <c r="N45" s="10"/>
      <c r="R45" s="2"/>
    </row>
    <row r="46" spans="1:18" ht="15.75" customHeight="1" x14ac:dyDescent="0.25">
      <c r="A46" s="177"/>
      <c r="B46" s="20">
        <f>DATE(2021,11,1)</f>
        <v>44501</v>
      </c>
      <c r="C46" s="21">
        <v>303436</v>
      </c>
      <c r="D46" s="21">
        <v>232899</v>
      </c>
      <c r="E46" s="23">
        <f t="shared" si="15"/>
        <v>0.30286519049029836</v>
      </c>
      <c r="F46" s="21">
        <f>+C46-164494</f>
        <v>138942</v>
      </c>
      <c r="G46" s="21">
        <f>+D46-123557</f>
        <v>109342</v>
      </c>
      <c r="H46" s="23">
        <f t="shared" si="16"/>
        <v>0.27071024857785664</v>
      </c>
      <c r="I46" s="24">
        <f t="shared" si="17"/>
        <v>62.070287111614974</v>
      </c>
      <c r="J46" s="24">
        <f t="shared" si="18"/>
        <v>135.55555296454637</v>
      </c>
      <c r="K46" s="21">
        <v>18834359.640000001</v>
      </c>
      <c r="L46" s="21">
        <v>13569514.189999999</v>
      </c>
      <c r="M46" s="25">
        <f t="shared" si="19"/>
        <v>0.38799071037339777</v>
      </c>
      <c r="N46" s="10"/>
      <c r="R46" s="2"/>
    </row>
    <row r="47" spans="1:18" ht="15.75" customHeight="1" x14ac:dyDescent="0.25">
      <c r="A47" s="177"/>
      <c r="B47" s="20">
        <f>DATE(2021,12,1)</f>
        <v>44531</v>
      </c>
      <c r="C47" s="21">
        <v>313897</v>
      </c>
      <c r="D47" s="21">
        <v>226657</v>
      </c>
      <c r="E47" s="23">
        <f t="shared" si="15"/>
        <v>0.38489876774156545</v>
      </c>
      <c r="F47" s="21">
        <f>+C47-163677</f>
        <v>150220</v>
      </c>
      <c r="G47" s="21">
        <f>+D47-116839</f>
        <v>109818</v>
      </c>
      <c r="H47" s="23">
        <f t="shared" si="16"/>
        <v>0.36789961572784063</v>
      </c>
      <c r="I47" s="24">
        <f t="shared" si="17"/>
        <v>64.836987037149129</v>
      </c>
      <c r="J47" s="24">
        <f t="shared" si="18"/>
        <v>135.48219757688722</v>
      </c>
      <c r="K47" s="21">
        <v>20352135.719999999</v>
      </c>
      <c r="L47" s="21">
        <v>14713281.02</v>
      </c>
      <c r="M47" s="25">
        <f t="shared" si="19"/>
        <v>0.38324930328830215</v>
      </c>
      <c r="N47" s="10"/>
      <c r="R47" s="2"/>
    </row>
    <row r="48" spans="1:18" ht="15.75" customHeight="1" x14ac:dyDescent="0.25">
      <c r="A48" s="177"/>
      <c r="B48" s="20">
        <f>DATE(2022,1,1)</f>
        <v>44562</v>
      </c>
      <c r="C48" s="21">
        <v>284315</v>
      </c>
      <c r="D48" s="21">
        <v>237906</v>
      </c>
      <c r="E48" s="23">
        <f t="shared" si="15"/>
        <v>0.19507284389632881</v>
      </c>
      <c r="F48" s="21">
        <f>+C48-147505</f>
        <v>136810</v>
      </c>
      <c r="G48" s="21">
        <f>+D48-125011</f>
        <v>112895</v>
      </c>
      <c r="H48" s="23">
        <f t="shared" si="16"/>
        <v>0.21183400504893929</v>
      </c>
      <c r="I48" s="24">
        <f t="shared" si="17"/>
        <v>66.662156903434578</v>
      </c>
      <c r="J48" s="24">
        <f t="shared" si="18"/>
        <v>138.53556859878665</v>
      </c>
      <c r="K48" s="21">
        <v>18953051.140000001</v>
      </c>
      <c r="L48" s="21">
        <v>14525016.02</v>
      </c>
      <c r="M48" s="25">
        <f t="shared" si="19"/>
        <v>0.30485578218315806</v>
      </c>
      <c r="N48" s="10"/>
      <c r="R48" s="2"/>
    </row>
    <row r="49" spans="1:18" ht="15.75" customHeight="1" x14ac:dyDescent="0.25">
      <c r="A49" s="177"/>
      <c r="B49" s="20">
        <f>DATE(2022,2,1)</f>
        <v>44593</v>
      </c>
      <c r="C49" s="21">
        <v>279152</v>
      </c>
      <c r="D49" s="21">
        <v>199774</v>
      </c>
      <c r="E49" s="23">
        <f t="shared" si="15"/>
        <v>0.39733899306216025</v>
      </c>
      <c r="F49" s="21">
        <f>+C49-149732</f>
        <v>129420</v>
      </c>
      <c r="G49" s="21">
        <f>+D49-106979</f>
        <v>92795</v>
      </c>
      <c r="H49" s="23">
        <f t="shared" si="16"/>
        <v>0.3946872137507409</v>
      </c>
      <c r="I49" s="24">
        <f t="shared" si="17"/>
        <v>62.997042435662294</v>
      </c>
      <c r="J49" s="24">
        <f t="shared" si="18"/>
        <v>135.8812423891207</v>
      </c>
      <c r="K49" s="21">
        <v>17585750.390000001</v>
      </c>
      <c r="L49" s="21">
        <v>11941559.6</v>
      </c>
      <c r="M49" s="25">
        <f t="shared" si="19"/>
        <v>0.47265105891193654</v>
      </c>
      <c r="N49" s="10"/>
      <c r="R49" s="2"/>
    </row>
    <row r="50" spans="1:18" ht="15.75" thickBot="1" x14ac:dyDescent="0.25">
      <c r="A50" s="38"/>
      <c r="B50" s="45"/>
      <c r="C50" s="21"/>
      <c r="D50" s="21"/>
      <c r="E50" s="23"/>
      <c r="F50" s="21"/>
      <c r="G50" s="21"/>
      <c r="H50" s="23"/>
      <c r="I50" s="24"/>
      <c r="J50" s="24"/>
      <c r="K50" s="21"/>
      <c r="L50" s="21"/>
      <c r="M50" s="25"/>
      <c r="N50" s="10"/>
      <c r="R50" s="2"/>
    </row>
    <row r="51" spans="1:18" ht="17.25" thickTop="1" thickBot="1" x14ac:dyDescent="0.3">
      <c r="A51" s="39" t="s">
        <v>14</v>
      </c>
      <c r="B51" s="40"/>
      <c r="C51" s="41">
        <f>SUM(C42:C50)</f>
        <v>2490274</v>
      </c>
      <c r="D51" s="41">
        <f>SUM(D42:D50)</f>
        <v>1893993</v>
      </c>
      <c r="E51" s="280">
        <f>(+C51-D51)/D51</f>
        <v>0.31482745712365356</v>
      </c>
      <c r="F51" s="41">
        <f>SUM(F42:F50)</f>
        <v>1183459</v>
      </c>
      <c r="G51" s="41">
        <f>SUM(G42:G50)</f>
        <v>893274</v>
      </c>
      <c r="H51" s="42">
        <f>(+F51-G51)/G51</f>
        <v>0.32485553144947688</v>
      </c>
      <c r="I51" s="43">
        <f>K51/C51</f>
        <v>60.715458214638232</v>
      </c>
      <c r="J51" s="43">
        <f>K51/F51</f>
        <v>127.75949736323777</v>
      </c>
      <c r="K51" s="41">
        <f>SUM(K42:K50)</f>
        <v>151198126.99000001</v>
      </c>
      <c r="L51" s="41">
        <f>SUM(L42:L50)</f>
        <v>115224591.56999998</v>
      </c>
      <c r="M51" s="44">
        <f>(+K51-L51)/L51</f>
        <v>0.31220362710633504</v>
      </c>
      <c r="N51" s="10"/>
      <c r="R51" s="2"/>
    </row>
    <row r="52" spans="1:18" ht="15.75" thickTop="1" x14ac:dyDescent="0.2">
      <c r="A52" s="38"/>
      <c r="B52" s="45"/>
      <c r="C52" s="21"/>
      <c r="D52" s="21"/>
      <c r="E52" s="23"/>
      <c r="F52" s="21"/>
      <c r="G52" s="21"/>
      <c r="H52" s="23"/>
      <c r="I52" s="24"/>
      <c r="J52" s="24"/>
      <c r="K52" s="21"/>
      <c r="L52" s="21"/>
      <c r="M52" s="25"/>
      <c r="N52" s="10"/>
      <c r="R52" s="2"/>
    </row>
    <row r="53" spans="1:18" ht="15.75" x14ac:dyDescent="0.25">
      <c r="A53" s="19" t="s">
        <v>62</v>
      </c>
      <c r="B53" s="20">
        <f>DATE(2021,7,1)</f>
        <v>44378</v>
      </c>
      <c r="C53" s="21">
        <v>256229</v>
      </c>
      <c r="D53" s="21">
        <v>260785</v>
      </c>
      <c r="E53" s="23">
        <f t="shared" ref="E53:E60" si="20">(+C53-D53)/D53</f>
        <v>-1.7470329965297085E-2</v>
      </c>
      <c r="F53" s="21">
        <f>+C53-120621</f>
        <v>135608</v>
      </c>
      <c r="G53" s="21">
        <f>+D53-121006</f>
        <v>139779</v>
      </c>
      <c r="H53" s="23">
        <f t="shared" ref="H53:H60" si="21">(+F53-G53)/G53</f>
        <v>-2.9839961653753425E-2</v>
      </c>
      <c r="I53" s="24">
        <f t="shared" ref="I53:I60" si="22">K53/C53</f>
        <v>63.268857818591961</v>
      </c>
      <c r="J53" s="24">
        <f t="shared" ref="J53:J60" si="23">K53/F53</f>
        <v>119.54542630228305</v>
      </c>
      <c r="K53" s="21">
        <v>16211316.17</v>
      </c>
      <c r="L53" s="21">
        <v>15798872.49</v>
      </c>
      <c r="M53" s="25">
        <f t="shared" ref="M53:M60" si="24">(+K53-L53)/L53</f>
        <v>2.610589333264501E-2</v>
      </c>
      <c r="N53" s="10"/>
      <c r="R53" s="2"/>
    </row>
    <row r="54" spans="1:18" ht="15.75" x14ac:dyDescent="0.25">
      <c r="A54" s="19"/>
      <c r="B54" s="20">
        <f>DATE(2021,8,1)</f>
        <v>44409</v>
      </c>
      <c r="C54" s="21">
        <v>232853</v>
      </c>
      <c r="D54" s="21">
        <v>267898</v>
      </c>
      <c r="E54" s="23">
        <f t="shared" si="20"/>
        <v>-0.13081471306243422</v>
      </c>
      <c r="F54" s="21">
        <f>+C54-112411</f>
        <v>120442</v>
      </c>
      <c r="G54" s="21">
        <f>+D54-127416</f>
        <v>140482</v>
      </c>
      <c r="H54" s="23">
        <f t="shared" si="21"/>
        <v>-0.14265172762346778</v>
      </c>
      <c r="I54" s="24">
        <f t="shared" si="22"/>
        <v>57.49918424929033</v>
      </c>
      <c r="J54" s="24">
        <f t="shared" si="23"/>
        <v>111.16435753308647</v>
      </c>
      <c r="K54" s="21">
        <v>13388857.550000001</v>
      </c>
      <c r="L54" s="21">
        <v>15592345.880000001</v>
      </c>
      <c r="M54" s="25">
        <f t="shared" si="24"/>
        <v>-0.14131858970793945</v>
      </c>
      <c r="N54" s="10"/>
      <c r="R54" s="2"/>
    </row>
    <row r="55" spans="1:18" ht="15.75" x14ac:dyDescent="0.25">
      <c r="A55" s="19"/>
      <c r="B55" s="20">
        <f>DATE(2021,9,1)</f>
        <v>44440</v>
      </c>
      <c r="C55" s="21">
        <v>224419</v>
      </c>
      <c r="D55" s="21">
        <v>245708</v>
      </c>
      <c r="E55" s="23">
        <f t="shared" si="20"/>
        <v>-8.6643495531281034E-2</v>
      </c>
      <c r="F55" s="21">
        <f>+C55-105923</f>
        <v>118496</v>
      </c>
      <c r="G55" s="21">
        <f>+D55-116526</f>
        <v>129182</v>
      </c>
      <c r="H55" s="23">
        <f t="shared" si="21"/>
        <v>-8.2720502856435105E-2</v>
      </c>
      <c r="I55" s="24">
        <f t="shared" si="22"/>
        <v>64.566015711682169</v>
      </c>
      <c r="J55" s="24">
        <f t="shared" si="23"/>
        <v>122.28126417769376</v>
      </c>
      <c r="K55" s="21">
        <v>14489840.68</v>
      </c>
      <c r="L55" s="21">
        <v>14701173.800000001</v>
      </c>
      <c r="M55" s="25">
        <f t="shared" si="24"/>
        <v>-1.4375254852099024E-2</v>
      </c>
      <c r="N55" s="10"/>
      <c r="R55" s="2"/>
    </row>
    <row r="56" spans="1:18" ht="15.75" x14ac:dyDescent="0.25">
      <c r="A56" s="19"/>
      <c r="B56" s="20">
        <f>DATE(2021,10,1)</f>
        <v>44470</v>
      </c>
      <c r="C56" s="21">
        <v>231892</v>
      </c>
      <c r="D56" s="21">
        <v>252286</v>
      </c>
      <c r="E56" s="23">
        <f t="shared" si="20"/>
        <v>-8.0836828044362347E-2</v>
      </c>
      <c r="F56" s="21">
        <f>+C56-109202</f>
        <v>122690</v>
      </c>
      <c r="G56" s="21">
        <f>+D56-116651</f>
        <v>135635</v>
      </c>
      <c r="H56" s="23">
        <f t="shared" si="21"/>
        <v>-9.5439967559995578E-2</v>
      </c>
      <c r="I56" s="24">
        <f t="shared" si="22"/>
        <v>64.297012272954646</v>
      </c>
      <c r="J56" s="24">
        <f t="shared" si="23"/>
        <v>121.52549327573558</v>
      </c>
      <c r="K56" s="21">
        <v>14909962.77</v>
      </c>
      <c r="L56" s="21">
        <v>14952748.380000001</v>
      </c>
      <c r="M56" s="25">
        <f t="shared" si="24"/>
        <v>-2.8613876802226551E-3</v>
      </c>
      <c r="N56" s="10"/>
      <c r="R56" s="2"/>
    </row>
    <row r="57" spans="1:18" ht="15.75" x14ac:dyDescent="0.25">
      <c r="A57" s="19"/>
      <c r="B57" s="20">
        <f>DATE(2021,11,1)</f>
        <v>44501</v>
      </c>
      <c r="C57" s="21">
        <v>219677</v>
      </c>
      <c r="D57" s="21">
        <v>229647</v>
      </c>
      <c r="E57" s="23">
        <f t="shared" si="20"/>
        <v>-4.3414457841818098E-2</v>
      </c>
      <c r="F57" s="21">
        <f>+C57-102367</f>
        <v>117310</v>
      </c>
      <c r="G57" s="21">
        <f>+D57-106423</f>
        <v>123224</v>
      </c>
      <c r="H57" s="23">
        <f t="shared" si="21"/>
        <v>-4.7993897292735184E-2</v>
      </c>
      <c r="I57" s="24">
        <f t="shared" si="22"/>
        <v>68.640731255434119</v>
      </c>
      <c r="J57" s="24">
        <f t="shared" si="23"/>
        <v>128.53797562015174</v>
      </c>
      <c r="K57" s="21">
        <v>15078789.92</v>
      </c>
      <c r="L57" s="21">
        <v>12504979.640000001</v>
      </c>
      <c r="M57" s="25">
        <f t="shared" si="24"/>
        <v>0.20582282851281788</v>
      </c>
      <c r="N57" s="10"/>
      <c r="R57" s="2"/>
    </row>
    <row r="58" spans="1:18" ht="15.75" x14ac:dyDescent="0.25">
      <c r="A58" s="19"/>
      <c r="B58" s="20">
        <f>DATE(2021,12,1)</f>
        <v>44531</v>
      </c>
      <c r="C58" s="21">
        <v>233380</v>
      </c>
      <c r="D58" s="21">
        <v>237315</v>
      </c>
      <c r="E58" s="23">
        <f t="shared" si="20"/>
        <v>-1.6581337041484945E-2</v>
      </c>
      <c r="F58" s="21">
        <f>+C58-110272</f>
        <v>123108</v>
      </c>
      <c r="G58" s="21">
        <f>+D58-109898</f>
        <v>127417</v>
      </c>
      <c r="H58" s="23">
        <f t="shared" si="21"/>
        <v>-3.3818093347041604E-2</v>
      </c>
      <c r="I58" s="24">
        <f t="shared" si="22"/>
        <v>63.506046790641868</v>
      </c>
      <c r="J58" s="24">
        <f t="shared" si="23"/>
        <v>120.39056113331384</v>
      </c>
      <c r="K58" s="21">
        <v>14821041.199999999</v>
      </c>
      <c r="L58" s="21">
        <v>13196453.23</v>
      </c>
      <c r="M58" s="25">
        <f t="shared" si="24"/>
        <v>0.12310792465863184</v>
      </c>
      <c r="N58" s="10"/>
      <c r="R58" s="2"/>
    </row>
    <row r="59" spans="1:18" ht="15.75" x14ac:dyDescent="0.25">
      <c r="A59" s="19"/>
      <c r="B59" s="20">
        <f>DATE(2022,1,1)</f>
        <v>44562</v>
      </c>
      <c r="C59" s="21">
        <v>196225</v>
      </c>
      <c r="D59" s="21">
        <v>253729</v>
      </c>
      <c r="E59" s="23">
        <f t="shared" si="20"/>
        <v>-0.2266355048102503</v>
      </c>
      <c r="F59" s="21">
        <f>+C59-96553</f>
        <v>99672</v>
      </c>
      <c r="G59" s="21">
        <f>+D59-120009</f>
        <v>133720</v>
      </c>
      <c r="H59" s="23">
        <f t="shared" si="21"/>
        <v>-0.25462159736763385</v>
      </c>
      <c r="I59" s="24">
        <f t="shared" si="22"/>
        <v>71.241366441584915</v>
      </c>
      <c r="J59" s="24">
        <f t="shared" si="23"/>
        <v>140.25340246006903</v>
      </c>
      <c r="K59" s="21">
        <v>13979337.130000001</v>
      </c>
      <c r="L59" s="21">
        <v>15066308.08</v>
      </c>
      <c r="M59" s="25">
        <f t="shared" si="24"/>
        <v>-7.2145806671968654E-2</v>
      </c>
      <c r="N59" s="10"/>
      <c r="R59" s="2"/>
    </row>
    <row r="60" spans="1:18" ht="15.75" x14ac:dyDescent="0.25">
      <c r="A60" s="19"/>
      <c r="B60" s="20">
        <f>DATE(2022,2,1)</f>
        <v>44593</v>
      </c>
      <c r="C60" s="21">
        <v>198005</v>
      </c>
      <c r="D60" s="21">
        <v>221549</v>
      </c>
      <c r="E60" s="23">
        <f t="shared" si="20"/>
        <v>-0.10626994479776483</v>
      </c>
      <c r="F60" s="21">
        <f>+C60-96853</f>
        <v>101152</v>
      </c>
      <c r="G60" s="21">
        <f>+D60-106025</f>
        <v>115524</v>
      </c>
      <c r="H60" s="23">
        <f t="shared" si="21"/>
        <v>-0.12440704961739552</v>
      </c>
      <c r="I60" s="24">
        <f t="shared" si="22"/>
        <v>61.17057660160097</v>
      </c>
      <c r="J60" s="24">
        <f t="shared" si="23"/>
        <v>119.74137950806707</v>
      </c>
      <c r="K60" s="21">
        <v>12112080.02</v>
      </c>
      <c r="L60" s="21">
        <v>13215921.17</v>
      </c>
      <c r="M60" s="25">
        <f t="shared" si="24"/>
        <v>-8.3523587633505869E-2</v>
      </c>
      <c r="N60" s="10"/>
      <c r="R60" s="2"/>
    </row>
    <row r="61" spans="1:18" ht="15.75" thickBot="1" x14ac:dyDescent="0.25">
      <c r="A61" s="38"/>
      <c r="B61" s="20"/>
      <c r="C61" s="21"/>
      <c r="D61" s="21"/>
      <c r="E61" s="23"/>
      <c r="F61" s="21"/>
      <c r="G61" s="21"/>
      <c r="H61" s="23"/>
      <c r="I61" s="24"/>
      <c r="J61" s="24"/>
      <c r="K61" s="21"/>
      <c r="L61" s="21"/>
      <c r="M61" s="25"/>
      <c r="N61" s="10"/>
      <c r="R61" s="2"/>
    </row>
    <row r="62" spans="1:18" ht="17.25" thickTop="1" thickBot="1" x14ac:dyDescent="0.3">
      <c r="A62" s="39" t="s">
        <v>14</v>
      </c>
      <c r="B62" s="40"/>
      <c r="C62" s="41">
        <f>SUM(C53:C61)</f>
        <v>1792680</v>
      </c>
      <c r="D62" s="41">
        <f>SUM(D53:D61)</f>
        <v>1968917</v>
      </c>
      <c r="E62" s="281">
        <f>(+C62-D62)/D62</f>
        <v>-8.9509613660707893E-2</v>
      </c>
      <c r="F62" s="47">
        <f>SUM(F53:F61)</f>
        <v>938478</v>
      </c>
      <c r="G62" s="48">
        <f>SUM(G53:G61)</f>
        <v>1044963</v>
      </c>
      <c r="H62" s="49">
        <f>(+F62-G62)/G62</f>
        <v>-0.10190312958449246</v>
      </c>
      <c r="I62" s="50">
        <f>K62/C62</f>
        <v>64.144869937746833</v>
      </c>
      <c r="J62" s="51">
        <f>K62/F62</f>
        <v>122.52948437789698</v>
      </c>
      <c r="K62" s="48">
        <f>SUM(K53:K61)</f>
        <v>114991225.44</v>
      </c>
      <c r="L62" s="47">
        <f>SUM(L53:L61)</f>
        <v>115028802.67</v>
      </c>
      <c r="M62" s="44">
        <f>(+K62-L62)/L62</f>
        <v>-3.2667670294550039E-4</v>
      </c>
      <c r="N62" s="10"/>
      <c r="R62" s="2"/>
    </row>
    <row r="63" spans="1:18" ht="15.75" customHeight="1" thickTop="1" x14ac:dyDescent="0.25">
      <c r="A63" s="273"/>
      <c r="B63" s="45"/>
      <c r="C63" s="21"/>
      <c r="D63" s="21"/>
      <c r="E63" s="23"/>
      <c r="F63" s="21"/>
      <c r="G63" s="21"/>
      <c r="H63" s="23"/>
      <c r="I63" s="24"/>
      <c r="J63" s="24"/>
      <c r="K63" s="21"/>
      <c r="L63" s="21"/>
      <c r="M63" s="25"/>
      <c r="N63" s="10"/>
      <c r="R63" s="2"/>
    </row>
    <row r="64" spans="1:18" ht="15.75" x14ac:dyDescent="0.25">
      <c r="A64" s="274" t="s">
        <v>63</v>
      </c>
      <c r="B64" s="20">
        <f>DATE(2021,7,1)</f>
        <v>44378</v>
      </c>
      <c r="C64" s="21">
        <v>104293</v>
      </c>
      <c r="D64" s="21">
        <v>75978</v>
      </c>
      <c r="E64" s="23">
        <f t="shared" ref="E64:E71" si="25">(+C64-D64)/D64</f>
        <v>0.37267366869356922</v>
      </c>
      <c r="F64" s="21">
        <f>+C64-51816</f>
        <v>52477</v>
      </c>
      <c r="G64" s="21">
        <f>+D64-36462</f>
        <v>39516</v>
      </c>
      <c r="H64" s="23">
        <f t="shared" ref="H64:H71" si="26">(+F64-G64)/G64</f>
        <v>0.3279937240611398</v>
      </c>
      <c r="I64" s="24">
        <f t="shared" ref="I64:I71" si="27">K64/C64</f>
        <v>62.066719147018496</v>
      </c>
      <c r="J64" s="24">
        <f t="shared" ref="J64:J71" si="28">K64/F64</f>
        <v>123.35164624502163</v>
      </c>
      <c r="K64" s="21">
        <v>6473124.3399999999</v>
      </c>
      <c r="L64" s="21">
        <v>5007129.57</v>
      </c>
      <c r="M64" s="25">
        <f t="shared" ref="M64:M71" si="29">(+K64-L64)/L64</f>
        <v>0.29278147279899519</v>
      </c>
      <c r="N64" s="10"/>
      <c r="R64" s="2"/>
    </row>
    <row r="65" spans="1:18" ht="15.75" x14ac:dyDescent="0.25">
      <c r="A65" s="274"/>
      <c r="B65" s="20">
        <f>DATE(2021,8,1)</f>
        <v>44409</v>
      </c>
      <c r="C65" s="21">
        <v>93122</v>
      </c>
      <c r="D65" s="21">
        <v>75051</v>
      </c>
      <c r="E65" s="23">
        <f t="shared" si="25"/>
        <v>0.24078293427136213</v>
      </c>
      <c r="F65" s="21">
        <f>+C65-46288</f>
        <v>46834</v>
      </c>
      <c r="G65" s="21">
        <f>+D65-37094</f>
        <v>37957</v>
      </c>
      <c r="H65" s="23">
        <f t="shared" si="26"/>
        <v>0.23386990541929026</v>
      </c>
      <c r="I65" s="24">
        <f t="shared" si="27"/>
        <v>62.998181632696891</v>
      </c>
      <c r="J65" s="24">
        <f t="shared" si="28"/>
        <v>125.2619180509886</v>
      </c>
      <c r="K65" s="21">
        <v>5866516.6699999999</v>
      </c>
      <c r="L65" s="21">
        <v>4962926.8</v>
      </c>
      <c r="M65" s="25">
        <f t="shared" si="29"/>
        <v>0.18206794224730458</v>
      </c>
      <c r="N65" s="10"/>
      <c r="R65" s="2"/>
    </row>
    <row r="66" spans="1:18" ht="15.75" x14ac:dyDescent="0.25">
      <c r="A66" s="274"/>
      <c r="B66" s="20">
        <f>DATE(2021,9,1)</f>
        <v>44440</v>
      </c>
      <c r="C66" s="21">
        <v>92204</v>
      </c>
      <c r="D66" s="21">
        <v>76058</v>
      </c>
      <c r="E66" s="23">
        <f t="shared" si="25"/>
        <v>0.21228536117173735</v>
      </c>
      <c r="F66" s="21">
        <f>+C66-46055</f>
        <v>46149</v>
      </c>
      <c r="G66" s="21">
        <f>+D66-37383</f>
        <v>38675</v>
      </c>
      <c r="H66" s="23">
        <f t="shared" si="26"/>
        <v>0.19325145442792502</v>
      </c>
      <c r="I66" s="24">
        <f t="shared" si="27"/>
        <v>64.955611036397556</v>
      </c>
      <c r="J66" s="24">
        <f t="shared" si="28"/>
        <v>129.7789152527682</v>
      </c>
      <c r="K66" s="21">
        <v>5989167.1600000001</v>
      </c>
      <c r="L66" s="21">
        <v>4981639.0599999996</v>
      </c>
      <c r="M66" s="25">
        <f t="shared" si="29"/>
        <v>0.20224831383107081</v>
      </c>
      <c r="N66" s="10"/>
      <c r="R66" s="2"/>
    </row>
    <row r="67" spans="1:18" ht="15.75" x14ac:dyDescent="0.25">
      <c r="A67" s="274"/>
      <c r="B67" s="20">
        <f>DATE(2021,10,1)</f>
        <v>44470</v>
      </c>
      <c r="C67" s="21">
        <v>93325</v>
      </c>
      <c r="D67" s="21">
        <v>79279</v>
      </c>
      <c r="E67" s="23">
        <f t="shared" si="25"/>
        <v>0.17717176049142899</v>
      </c>
      <c r="F67" s="21">
        <f>+C67-46461</f>
        <v>46864</v>
      </c>
      <c r="G67" s="21">
        <f>+D67-39288</f>
        <v>39991</v>
      </c>
      <c r="H67" s="23">
        <f t="shared" si="26"/>
        <v>0.17186366932559827</v>
      </c>
      <c r="I67" s="24">
        <f t="shared" si="27"/>
        <v>61.770488186445213</v>
      </c>
      <c r="J67" s="24">
        <f t="shared" si="28"/>
        <v>123.0097902441106</v>
      </c>
      <c r="K67" s="21">
        <v>5764730.8099999996</v>
      </c>
      <c r="L67" s="21">
        <v>4994174.3899999997</v>
      </c>
      <c r="M67" s="25">
        <f t="shared" si="29"/>
        <v>0.15429105189897063</v>
      </c>
      <c r="N67" s="10"/>
      <c r="R67" s="2"/>
    </row>
    <row r="68" spans="1:18" ht="15.75" x14ac:dyDescent="0.25">
      <c r="A68" s="274"/>
      <c r="B68" s="20">
        <f>DATE(2021,11,1)</f>
        <v>44501</v>
      </c>
      <c r="C68" s="21">
        <v>87600</v>
      </c>
      <c r="D68" s="21">
        <v>73436</v>
      </c>
      <c r="E68" s="23">
        <f t="shared" si="25"/>
        <v>0.19287542894493165</v>
      </c>
      <c r="F68" s="21">
        <f>+C68-43575</f>
        <v>44025</v>
      </c>
      <c r="G68" s="21">
        <f>+D68-36298</f>
        <v>37138</v>
      </c>
      <c r="H68" s="23">
        <f t="shared" si="26"/>
        <v>0.18544348107060155</v>
      </c>
      <c r="I68" s="24">
        <f t="shared" si="27"/>
        <v>64.904013127853872</v>
      </c>
      <c r="J68" s="24">
        <f t="shared" si="28"/>
        <v>129.14461215218626</v>
      </c>
      <c r="K68" s="21">
        <v>5685591.5499999998</v>
      </c>
      <c r="L68" s="21">
        <v>4495841.55</v>
      </c>
      <c r="M68" s="25">
        <f t="shared" si="29"/>
        <v>0.26463343664769501</v>
      </c>
      <c r="N68" s="10"/>
      <c r="R68" s="2"/>
    </row>
    <row r="69" spans="1:18" ht="15.75" x14ac:dyDescent="0.25">
      <c r="A69" s="274"/>
      <c r="B69" s="20">
        <f>DATE(2021,12,1)</f>
        <v>44531</v>
      </c>
      <c r="C69" s="21">
        <v>97815</v>
      </c>
      <c r="D69" s="21">
        <v>90053</v>
      </c>
      <c r="E69" s="23">
        <f t="shared" si="25"/>
        <v>8.619368594050171E-2</v>
      </c>
      <c r="F69" s="21">
        <f>+C69-49840</f>
        <v>47975</v>
      </c>
      <c r="G69" s="21">
        <f>+D69-45539</f>
        <v>44514</v>
      </c>
      <c r="H69" s="23">
        <f t="shared" si="26"/>
        <v>7.7750819966752038E-2</v>
      </c>
      <c r="I69" s="24">
        <f t="shared" si="27"/>
        <v>64.46978367326075</v>
      </c>
      <c r="J69" s="24">
        <f t="shared" si="28"/>
        <v>131.44579239187075</v>
      </c>
      <c r="K69" s="21">
        <v>6306111.8899999997</v>
      </c>
      <c r="L69" s="21">
        <v>6136762.6299999999</v>
      </c>
      <c r="M69" s="25">
        <f t="shared" si="29"/>
        <v>2.7595862869475168E-2</v>
      </c>
      <c r="N69" s="10"/>
      <c r="R69" s="2"/>
    </row>
    <row r="70" spans="1:18" ht="15.75" x14ac:dyDescent="0.25">
      <c r="A70" s="274"/>
      <c r="B70" s="20">
        <f>DATE(2022,1,1)</f>
        <v>44562</v>
      </c>
      <c r="C70" s="21">
        <v>84178</v>
      </c>
      <c r="D70" s="21">
        <v>102968</v>
      </c>
      <c r="E70" s="23">
        <f t="shared" si="25"/>
        <v>-0.18248387848652009</v>
      </c>
      <c r="F70" s="21">
        <f>+C70-43196</f>
        <v>40982</v>
      </c>
      <c r="G70" s="21">
        <f>+D70-52033</f>
        <v>50935</v>
      </c>
      <c r="H70" s="23">
        <f t="shared" si="26"/>
        <v>-0.19540590949249043</v>
      </c>
      <c r="I70" s="24">
        <f t="shared" si="27"/>
        <v>65.991751882914784</v>
      </c>
      <c r="J70" s="24">
        <f t="shared" si="28"/>
        <v>135.54862354204286</v>
      </c>
      <c r="K70" s="21">
        <v>5555053.6900000004</v>
      </c>
      <c r="L70" s="21">
        <v>6814377.9299999997</v>
      </c>
      <c r="M70" s="25">
        <f t="shared" si="29"/>
        <v>-0.18480399134539921</v>
      </c>
      <c r="N70" s="10"/>
      <c r="R70" s="2"/>
    </row>
    <row r="71" spans="1:18" ht="15.75" x14ac:dyDescent="0.25">
      <c r="A71" s="274"/>
      <c r="B71" s="20">
        <f>DATE(2022,2,1)</f>
        <v>44593</v>
      </c>
      <c r="C71" s="21">
        <v>86324</v>
      </c>
      <c r="D71" s="21">
        <v>73388</v>
      </c>
      <c r="E71" s="23">
        <f t="shared" si="25"/>
        <v>0.17626859977107975</v>
      </c>
      <c r="F71" s="21">
        <f>+C71-44518</f>
        <v>41806</v>
      </c>
      <c r="G71" s="21">
        <f>+D71-36566</f>
        <v>36822</v>
      </c>
      <c r="H71" s="23">
        <f t="shared" si="26"/>
        <v>0.13535386453750475</v>
      </c>
      <c r="I71" s="24">
        <f t="shared" si="27"/>
        <v>63.117420416106761</v>
      </c>
      <c r="J71" s="24">
        <f t="shared" si="28"/>
        <v>130.32933550208105</v>
      </c>
      <c r="K71" s="21">
        <v>5448548.2000000002</v>
      </c>
      <c r="L71" s="21">
        <v>4944353.3600000003</v>
      </c>
      <c r="M71" s="25">
        <f t="shared" si="29"/>
        <v>0.10197386863142804</v>
      </c>
      <c r="N71" s="10"/>
      <c r="R71" s="2"/>
    </row>
    <row r="72" spans="1:18" ht="15.75" customHeight="1" thickBot="1" x14ac:dyDescent="0.3">
      <c r="A72" s="19"/>
      <c r="B72" s="20"/>
      <c r="C72" s="21"/>
      <c r="D72" s="21"/>
      <c r="E72" s="23"/>
      <c r="F72" s="21"/>
      <c r="G72" s="21"/>
      <c r="H72" s="23"/>
      <c r="I72" s="24"/>
      <c r="J72" s="24"/>
      <c r="K72" s="21"/>
      <c r="L72" s="21"/>
      <c r="M72" s="25"/>
      <c r="N72" s="10"/>
      <c r="R72" s="2"/>
    </row>
    <row r="73" spans="1:18" ht="17.45" customHeight="1" thickTop="1" thickBot="1" x14ac:dyDescent="0.3">
      <c r="A73" s="39" t="s">
        <v>14</v>
      </c>
      <c r="B73" s="52"/>
      <c r="C73" s="47">
        <f>SUM(C64:C72)</f>
        <v>738861</v>
      </c>
      <c r="D73" s="48">
        <f>SUM(D64:D72)</f>
        <v>646211</v>
      </c>
      <c r="E73" s="281">
        <f>(+C73-D73)/D73</f>
        <v>0.14337422297051583</v>
      </c>
      <c r="F73" s="48">
        <f>SUM(F64:F72)</f>
        <v>367112</v>
      </c>
      <c r="G73" s="47">
        <f>SUM(G64:G72)</f>
        <v>325548</v>
      </c>
      <c r="H73" s="46">
        <f>(+F73-G73)/G73</f>
        <v>0.12767395284259156</v>
      </c>
      <c r="I73" s="51">
        <f>K73/C73</f>
        <v>63.731668487036131</v>
      </c>
      <c r="J73" s="50">
        <f>K73/F73</f>
        <v>128.26833312449608</v>
      </c>
      <c r="K73" s="47">
        <f>SUM(K64:K72)</f>
        <v>47088844.310000002</v>
      </c>
      <c r="L73" s="48">
        <f>SUM(L64:L72)</f>
        <v>42337205.289999999</v>
      </c>
      <c r="M73" s="44">
        <f>(+K73-L73)/L73</f>
        <v>0.11223317617335349</v>
      </c>
      <c r="N73" s="10"/>
      <c r="R73" s="2"/>
    </row>
    <row r="74" spans="1:18" ht="15.75" customHeight="1" thickTop="1" x14ac:dyDescent="0.25">
      <c r="A74" s="19"/>
      <c r="B74" s="45"/>
      <c r="C74" s="21"/>
      <c r="D74" s="21"/>
      <c r="E74" s="23"/>
      <c r="F74" s="21"/>
      <c r="G74" s="21"/>
      <c r="H74" s="23"/>
      <c r="I74" s="24"/>
      <c r="J74" s="24"/>
      <c r="K74" s="21"/>
      <c r="L74" s="21"/>
      <c r="M74" s="25"/>
      <c r="N74" s="10"/>
      <c r="R74" s="2"/>
    </row>
    <row r="75" spans="1:18" ht="15.75" x14ac:dyDescent="0.25">
      <c r="A75" s="19" t="s">
        <v>70</v>
      </c>
      <c r="B75" s="20">
        <f>DATE(2021,7,1)</f>
        <v>44378</v>
      </c>
      <c r="C75" s="21">
        <v>224693</v>
      </c>
      <c r="D75" s="21">
        <v>89782</v>
      </c>
      <c r="E75" s="23">
        <f t="shared" ref="E75:E82" si="30">(+C75-D75)/D75</f>
        <v>1.502650865429596</v>
      </c>
      <c r="F75" s="21">
        <f>+C75-121301</f>
        <v>103392</v>
      </c>
      <c r="G75" s="21">
        <f>+D75-42122</f>
        <v>47660</v>
      </c>
      <c r="H75" s="23">
        <f t="shared" ref="H75:H82" si="31">(+F75-G75)/G75</f>
        <v>1.1693663449433487</v>
      </c>
      <c r="I75" s="24">
        <f t="shared" ref="I75:I82" si="32">K75/C75</f>
        <v>42.343524586880768</v>
      </c>
      <c r="J75" s="24">
        <f t="shared" ref="J75:J82" si="33">K75/F75</f>
        <v>92.021564240947072</v>
      </c>
      <c r="K75" s="21">
        <v>9514293.5700000003</v>
      </c>
      <c r="L75" s="21">
        <v>4552159.55</v>
      </c>
      <c r="M75" s="25">
        <f t="shared" ref="M75:M82" si="34">(+K75-L75)/L75</f>
        <v>1.0900615335418111</v>
      </c>
      <c r="N75" s="10"/>
      <c r="R75" s="2"/>
    </row>
    <row r="76" spans="1:18" ht="15.75" x14ac:dyDescent="0.25">
      <c r="A76" s="19"/>
      <c r="B76" s="20">
        <f>DATE(2021,8,1)</f>
        <v>44409</v>
      </c>
      <c r="C76" s="21">
        <v>253687</v>
      </c>
      <c r="D76" s="21">
        <v>90766</v>
      </c>
      <c r="E76" s="23">
        <f t="shared" si="30"/>
        <v>1.794956261155058</v>
      </c>
      <c r="F76" s="21">
        <f>+C76-139919</f>
        <v>113768</v>
      </c>
      <c r="G76" s="21">
        <f>+D76-42451</f>
        <v>48315</v>
      </c>
      <c r="H76" s="23">
        <f t="shared" si="31"/>
        <v>1.3547138569802339</v>
      </c>
      <c r="I76" s="24">
        <f t="shared" si="32"/>
        <v>37.330805047164418</v>
      </c>
      <c r="J76" s="24">
        <f t="shared" si="33"/>
        <v>83.242563286688693</v>
      </c>
      <c r="K76" s="21">
        <v>9470339.9399999995</v>
      </c>
      <c r="L76" s="21">
        <v>4403282.5999999996</v>
      </c>
      <c r="M76" s="25">
        <f t="shared" si="34"/>
        <v>1.1507454325098281</v>
      </c>
      <c r="N76" s="10"/>
      <c r="R76" s="2"/>
    </row>
    <row r="77" spans="1:18" ht="15.75" x14ac:dyDescent="0.25">
      <c r="A77" s="19"/>
      <c r="B77" s="20">
        <f>DATE(2021,9,1)</f>
        <v>44440</v>
      </c>
      <c r="C77" s="21">
        <v>235921</v>
      </c>
      <c r="D77" s="21">
        <v>113899</v>
      </c>
      <c r="E77" s="23">
        <f t="shared" si="30"/>
        <v>1.0713175708302971</v>
      </c>
      <c r="F77" s="21">
        <f>+C77-117745</f>
        <v>118176</v>
      </c>
      <c r="G77" s="21">
        <f>+D77-56486</f>
        <v>57413</v>
      </c>
      <c r="H77" s="23">
        <f t="shared" si="31"/>
        <v>1.058349154372703</v>
      </c>
      <c r="I77" s="24">
        <f t="shared" si="32"/>
        <v>42.602001220747624</v>
      </c>
      <c r="J77" s="24">
        <f t="shared" si="33"/>
        <v>85.048628570945041</v>
      </c>
      <c r="K77" s="21">
        <v>10050706.73</v>
      </c>
      <c r="L77" s="21">
        <v>5356117.45</v>
      </c>
      <c r="M77" s="25">
        <f t="shared" si="34"/>
        <v>0.87649110084395188</v>
      </c>
      <c r="N77" s="10"/>
      <c r="R77" s="2"/>
    </row>
    <row r="78" spans="1:18" ht="15.75" x14ac:dyDescent="0.25">
      <c r="A78" s="19"/>
      <c r="B78" s="20">
        <f>DATE(2021,10,1)</f>
        <v>44470</v>
      </c>
      <c r="C78" s="21">
        <v>221800</v>
      </c>
      <c r="D78" s="21">
        <v>133252</v>
      </c>
      <c r="E78" s="23">
        <f t="shared" si="30"/>
        <v>0.66451535436616338</v>
      </c>
      <c r="F78" s="21">
        <f>+C78-108912</f>
        <v>112888</v>
      </c>
      <c r="G78" s="21">
        <f>+D78-63794</f>
        <v>69458</v>
      </c>
      <c r="H78" s="23">
        <f t="shared" si="31"/>
        <v>0.62526994730628582</v>
      </c>
      <c r="I78" s="24">
        <f t="shared" si="32"/>
        <v>46.884752795311094</v>
      </c>
      <c r="J78" s="24">
        <f t="shared" si="33"/>
        <v>92.118189444405076</v>
      </c>
      <c r="K78" s="21">
        <v>10399038.17</v>
      </c>
      <c r="L78" s="21">
        <v>6129955.3200000003</v>
      </c>
      <c r="M78" s="25">
        <f t="shared" si="34"/>
        <v>0.69642968458047416</v>
      </c>
      <c r="N78" s="10"/>
      <c r="R78" s="2"/>
    </row>
    <row r="79" spans="1:18" ht="15.75" x14ac:dyDescent="0.25">
      <c r="A79" s="19"/>
      <c r="B79" s="20">
        <f>DATE(2021,11,1)</f>
        <v>44501</v>
      </c>
      <c r="C79" s="21">
        <v>202133</v>
      </c>
      <c r="D79" s="21">
        <v>128642</v>
      </c>
      <c r="E79" s="23">
        <f t="shared" si="30"/>
        <v>0.57128309572301428</v>
      </c>
      <c r="F79" s="21">
        <f>+C79-98046</f>
        <v>104087</v>
      </c>
      <c r="G79" s="21">
        <f>+D79-61517</f>
        <v>67125</v>
      </c>
      <c r="H79" s="23">
        <f t="shared" si="31"/>
        <v>0.55064432029795163</v>
      </c>
      <c r="I79" s="24">
        <f t="shared" si="32"/>
        <v>47.524598556396036</v>
      </c>
      <c r="J79" s="24">
        <f t="shared" si="33"/>
        <v>92.290965058076409</v>
      </c>
      <c r="K79" s="21">
        <v>9606289.6799999997</v>
      </c>
      <c r="L79" s="21">
        <v>5762849.3099999996</v>
      </c>
      <c r="M79" s="25">
        <f t="shared" si="34"/>
        <v>0.66693403961312336</v>
      </c>
      <c r="N79" s="10"/>
      <c r="R79" s="2"/>
    </row>
    <row r="80" spans="1:18" ht="15.75" x14ac:dyDescent="0.25">
      <c r="A80" s="19"/>
      <c r="B80" s="20">
        <f>DATE(2021,12,1)</f>
        <v>44531</v>
      </c>
      <c r="C80" s="21">
        <v>205858</v>
      </c>
      <c r="D80" s="21">
        <v>136324</v>
      </c>
      <c r="E80" s="23">
        <f t="shared" si="30"/>
        <v>0.51006425867785565</v>
      </c>
      <c r="F80" s="21">
        <f>+C80-97374</f>
        <v>108484</v>
      </c>
      <c r="G80" s="21">
        <f>+D80-65497</f>
        <v>70827</v>
      </c>
      <c r="H80" s="23">
        <f t="shared" si="31"/>
        <v>0.53167577336326544</v>
      </c>
      <c r="I80" s="24">
        <f t="shared" si="32"/>
        <v>49.499164861215014</v>
      </c>
      <c r="J80" s="24">
        <f t="shared" si="33"/>
        <v>93.929050182515397</v>
      </c>
      <c r="K80" s="21">
        <v>10189799.08</v>
      </c>
      <c r="L80" s="21">
        <v>6383967.25</v>
      </c>
      <c r="M80" s="25">
        <f t="shared" si="34"/>
        <v>0.59615466072448919</v>
      </c>
      <c r="N80" s="10"/>
      <c r="R80" s="2"/>
    </row>
    <row r="81" spans="1:18" ht="15.75" x14ac:dyDescent="0.25">
      <c r="A81" s="19"/>
      <c r="B81" s="20">
        <f>DATE(2022,1,1)</f>
        <v>44562</v>
      </c>
      <c r="C81" s="21">
        <v>179199</v>
      </c>
      <c r="D81" s="21">
        <v>148941</v>
      </c>
      <c r="E81" s="23">
        <f t="shared" si="30"/>
        <v>0.20315426914012932</v>
      </c>
      <c r="F81" s="21">
        <f>+C81-85727</f>
        <v>93472</v>
      </c>
      <c r="G81" s="21">
        <f>+D81-73418</f>
        <v>75523</v>
      </c>
      <c r="H81" s="23">
        <f t="shared" si="31"/>
        <v>0.23766269878050394</v>
      </c>
      <c r="I81" s="24">
        <f t="shared" si="32"/>
        <v>50.904624300358819</v>
      </c>
      <c r="J81" s="24">
        <f t="shared" si="33"/>
        <v>97.591340401403627</v>
      </c>
      <c r="K81" s="21">
        <v>9122057.7699999996</v>
      </c>
      <c r="L81" s="21">
        <v>6916380.04</v>
      </c>
      <c r="M81" s="25">
        <f t="shared" si="34"/>
        <v>0.31890638126357201</v>
      </c>
      <c r="N81" s="10"/>
      <c r="R81" s="2"/>
    </row>
    <row r="82" spans="1:18" ht="15.75" x14ac:dyDescent="0.25">
      <c r="A82" s="19"/>
      <c r="B82" s="20">
        <f>DATE(2022,2,1)</f>
        <v>44593</v>
      </c>
      <c r="C82" s="21">
        <v>184738</v>
      </c>
      <c r="D82" s="21">
        <v>128308</v>
      </c>
      <c r="E82" s="23">
        <f t="shared" si="30"/>
        <v>0.43980110359447577</v>
      </c>
      <c r="F82" s="21">
        <f>+C82-91368</f>
        <v>93370</v>
      </c>
      <c r="G82" s="21">
        <f>+D82-63434</f>
        <v>64874</v>
      </c>
      <c r="H82" s="23">
        <f t="shared" si="31"/>
        <v>0.43925147208434812</v>
      </c>
      <c r="I82" s="24">
        <f t="shared" si="32"/>
        <v>50.031798222347327</v>
      </c>
      <c r="J82" s="24">
        <f t="shared" si="33"/>
        <v>98.990835814501438</v>
      </c>
      <c r="K82" s="21">
        <v>9242774.3399999999</v>
      </c>
      <c r="L82" s="21">
        <v>6371712.29</v>
      </c>
      <c r="M82" s="25">
        <f t="shared" si="34"/>
        <v>0.45059505503818031</v>
      </c>
      <c r="N82" s="10"/>
      <c r="R82" s="2"/>
    </row>
    <row r="83" spans="1:18" ht="15.75" customHeight="1" thickBot="1" x14ac:dyDescent="0.3">
      <c r="A83" s="19"/>
      <c r="B83" s="45"/>
      <c r="C83" s="21"/>
      <c r="D83" s="21"/>
      <c r="E83" s="23"/>
      <c r="F83" s="21"/>
      <c r="G83" s="21"/>
      <c r="H83" s="23"/>
      <c r="I83" s="24"/>
      <c r="J83" s="24"/>
      <c r="K83" s="21"/>
      <c r="L83" s="21"/>
      <c r="M83" s="25"/>
      <c r="N83" s="10"/>
      <c r="R83" s="2"/>
    </row>
    <row r="84" spans="1:18" ht="17.45" customHeight="1" thickTop="1" thickBot="1" x14ac:dyDescent="0.3">
      <c r="A84" s="39" t="s">
        <v>14</v>
      </c>
      <c r="B84" s="52"/>
      <c r="C84" s="47">
        <f>SUM(C75:C83)</f>
        <v>1708029</v>
      </c>
      <c r="D84" s="48">
        <f>SUM(D75:D83)</f>
        <v>969914</v>
      </c>
      <c r="E84" s="281">
        <f>(+C84-D84)/D84</f>
        <v>0.76101077002703332</v>
      </c>
      <c r="F84" s="48">
        <f>SUM(F75:F83)</f>
        <v>847637</v>
      </c>
      <c r="G84" s="47">
        <f>SUM(G75:G83)</f>
        <v>501195</v>
      </c>
      <c r="H84" s="53">
        <f>(+F84-G84)/G84</f>
        <v>0.69123195562605377</v>
      </c>
      <c r="I84" s="51">
        <f>K84/C84</f>
        <v>45.429731743430587</v>
      </c>
      <c r="J84" s="50">
        <f>K84/F84</f>
        <v>91.543077142691985</v>
      </c>
      <c r="K84" s="47">
        <f>SUM(K75:K83)</f>
        <v>77595299.280000001</v>
      </c>
      <c r="L84" s="48">
        <f>SUM(L75:L83)</f>
        <v>45876423.809999995</v>
      </c>
      <c r="M84" s="44">
        <f>(+K84-L84)/L84</f>
        <v>0.69139817003534676</v>
      </c>
      <c r="N84" s="10"/>
      <c r="R84" s="2"/>
    </row>
    <row r="85" spans="1:18" ht="15.75" customHeight="1" thickTop="1" x14ac:dyDescent="0.25">
      <c r="A85" s="19"/>
      <c r="B85" s="45"/>
      <c r="C85" s="21"/>
      <c r="D85" s="21"/>
      <c r="E85" s="23"/>
      <c r="F85" s="21"/>
      <c r="G85" s="21"/>
      <c r="H85" s="23"/>
      <c r="I85" s="24"/>
      <c r="J85" s="24"/>
      <c r="K85" s="21"/>
      <c r="L85" s="21"/>
      <c r="M85" s="25"/>
      <c r="N85" s="10"/>
      <c r="R85" s="2"/>
    </row>
    <row r="86" spans="1:18" ht="15.75" customHeight="1" x14ac:dyDescent="0.25">
      <c r="A86" s="19" t="s">
        <v>60</v>
      </c>
      <c r="B86" s="20">
        <f>DATE(2021,7,1)</f>
        <v>44378</v>
      </c>
      <c r="C86" s="21">
        <v>251090</v>
      </c>
      <c r="D86" s="21">
        <v>198458</v>
      </c>
      <c r="E86" s="23">
        <f t="shared" ref="E86:E93" si="35">(+C86-D86)/D86</f>
        <v>0.26520472845639881</v>
      </c>
      <c r="F86" s="21">
        <f>+C86-113536</f>
        <v>137554</v>
      </c>
      <c r="G86" s="21">
        <f>+D86-91512</f>
        <v>106946</v>
      </c>
      <c r="H86" s="23">
        <f t="shared" ref="H86:H93" si="36">(+F86-G86)/G86</f>
        <v>0.28620051240813121</v>
      </c>
      <c r="I86" s="24">
        <f t="shared" ref="I86:I93" si="37">K86/C86</f>
        <v>59.031039945836156</v>
      </c>
      <c r="J86" s="24">
        <f t="shared" ref="J86:J93" si="38">K86/F86</f>
        <v>107.75480044200823</v>
      </c>
      <c r="K86" s="21">
        <v>14822103.82</v>
      </c>
      <c r="L86" s="21">
        <v>11423179.77</v>
      </c>
      <c r="M86" s="25">
        <f t="shared" ref="M86:M93" si="39">(+K86-L86)/L86</f>
        <v>0.2975462277960807</v>
      </c>
      <c r="N86" s="10"/>
      <c r="R86" s="2"/>
    </row>
    <row r="87" spans="1:18" ht="15.75" customHeight="1" x14ac:dyDescent="0.25">
      <c r="A87" s="19"/>
      <c r="B87" s="20">
        <f>DATE(2021,8,1)</f>
        <v>44409</v>
      </c>
      <c r="C87" s="21">
        <v>215479</v>
      </c>
      <c r="D87" s="21">
        <v>207170</v>
      </c>
      <c r="E87" s="23">
        <f t="shared" si="35"/>
        <v>4.0107158372351209E-2</v>
      </c>
      <c r="F87" s="21">
        <f>+C87-96518</f>
        <v>118961</v>
      </c>
      <c r="G87" s="21">
        <f>+D87-94983</f>
        <v>112187</v>
      </c>
      <c r="H87" s="23">
        <f t="shared" si="36"/>
        <v>6.0381327604802693E-2</v>
      </c>
      <c r="I87" s="24">
        <f t="shared" si="37"/>
        <v>60.899793761805093</v>
      </c>
      <c r="J87" s="24">
        <f t="shared" si="38"/>
        <v>110.31032573700625</v>
      </c>
      <c r="K87" s="21">
        <v>13122626.66</v>
      </c>
      <c r="L87" s="21">
        <v>12078246.74</v>
      </c>
      <c r="M87" s="25">
        <f t="shared" si="39"/>
        <v>8.6467841109859611E-2</v>
      </c>
      <c r="N87" s="10"/>
      <c r="R87" s="2"/>
    </row>
    <row r="88" spans="1:18" ht="15.75" customHeight="1" x14ac:dyDescent="0.25">
      <c r="A88" s="19"/>
      <c r="B88" s="20">
        <f>DATE(2021,9,1)</f>
        <v>44440</v>
      </c>
      <c r="C88" s="21">
        <v>213931</v>
      </c>
      <c r="D88" s="21">
        <v>214679</v>
      </c>
      <c r="E88" s="23">
        <f t="shared" si="35"/>
        <v>-3.4842718663679259E-3</v>
      </c>
      <c r="F88" s="21">
        <f>+C88-98283</f>
        <v>115648</v>
      </c>
      <c r="G88" s="21">
        <f>+D88-98438</f>
        <v>116241</v>
      </c>
      <c r="H88" s="23">
        <f t="shared" si="36"/>
        <v>-5.1014702213504704E-3</v>
      </c>
      <c r="I88" s="24">
        <f t="shared" si="37"/>
        <v>56.659814800099099</v>
      </c>
      <c r="J88" s="24">
        <f t="shared" si="38"/>
        <v>104.81193656613171</v>
      </c>
      <c r="K88" s="21">
        <v>12121290.84</v>
      </c>
      <c r="L88" s="21">
        <v>11539629.039999999</v>
      </c>
      <c r="M88" s="25">
        <f t="shared" si="39"/>
        <v>5.0405589121086752E-2</v>
      </c>
      <c r="N88" s="10"/>
      <c r="R88" s="2"/>
    </row>
    <row r="89" spans="1:18" ht="15.75" customHeight="1" x14ac:dyDescent="0.25">
      <c r="A89" s="19"/>
      <c r="B89" s="20">
        <f>DATE(2021,10,1)</f>
        <v>44470</v>
      </c>
      <c r="C89" s="21">
        <v>212915</v>
      </c>
      <c r="D89" s="21">
        <v>212255</v>
      </c>
      <c r="E89" s="23">
        <f t="shared" si="35"/>
        <v>3.1094673859273043E-3</v>
      </c>
      <c r="F89" s="21">
        <f>+C89-99053</f>
        <v>113862</v>
      </c>
      <c r="G89" s="21">
        <f>+D89-97155</f>
        <v>115100</v>
      </c>
      <c r="H89" s="23">
        <f t="shared" si="36"/>
        <v>-1.0755864465682016E-2</v>
      </c>
      <c r="I89" s="24">
        <f t="shared" si="37"/>
        <v>60.264709485005753</v>
      </c>
      <c r="J89" s="24">
        <f t="shared" si="38"/>
        <v>112.6913335441148</v>
      </c>
      <c r="K89" s="21">
        <v>12831260.619999999</v>
      </c>
      <c r="L89" s="21">
        <v>11315553.33</v>
      </c>
      <c r="M89" s="25">
        <f t="shared" si="39"/>
        <v>0.13394902094460803</v>
      </c>
      <c r="N89" s="10"/>
      <c r="R89" s="2"/>
    </row>
    <row r="90" spans="1:18" ht="15.75" customHeight="1" x14ac:dyDescent="0.25">
      <c r="A90" s="19"/>
      <c r="B90" s="20">
        <f>DATE(2021,11,1)</f>
        <v>44501</v>
      </c>
      <c r="C90" s="21">
        <v>184421</v>
      </c>
      <c r="D90" s="21">
        <v>182201</v>
      </c>
      <c r="E90" s="23">
        <f t="shared" si="35"/>
        <v>1.2184345859792207E-2</v>
      </c>
      <c r="F90" s="21">
        <f>+C90-84660</f>
        <v>99761</v>
      </c>
      <c r="G90" s="21">
        <f>+D90-83158</f>
        <v>99043</v>
      </c>
      <c r="H90" s="23">
        <f t="shared" si="36"/>
        <v>7.2493765334248764E-3</v>
      </c>
      <c r="I90" s="24">
        <f t="shared" si="37"/>
        <v>64.389713698548434</v>
      </c>
      <c r="J90" s="24">
        <f t="shared" si="38"/>
        <v>119.03264191417489</v>
      </c>
      <c r="K90" s="21">
        <v>11874815.390000001</v>
      </c>
      <c r="L90" s="21">
        <v>10560135.1</v>
      </c>
      <c r="M90" s="25">
        <f t="shared" si="39"/>
        <v>0.12449464685352378</v>
      </c>
      <c r="N90" s="10"/>
      <c r="R90" s="2"/>
    </row>
    <row r="91" spans="1:18" ht="15.75" customHeight="1" x14ac:dyDescent="0.25">
      <c r="A91" s="19"/>
      <c r="B91" s="20">
        <f>DATE(2021,12,1)</f>
        <v>44531</v>
      </c>
      <c r="C91" s="21">
        <v>211464</v>
      </c>
      <c r="D91" s="21">
        <v>236582</v>
      </c>
      <c r="E91" s="23">
        <f t="shared" si="35"/>
        <v>-0.10617037644453085</v>
      </c>
      <c r="F91" s="21">
        <f>+C91-97323</f>
        <v>114141</v>
      </c>
      <c r="G91" s="21">
        <f>+D91-114318</f>
        <v>122264</v>
      </c>
      <c r="H91" s="23">
        <f t="shared" si="36"/>
        <v>-6.6438199306418894E-2</v>
      </c>
      <c r="I91" s="24">
        <f t="shared" si="37"/>
        <v>59.316628693300046</v>
      </c>
      <c r="J91" s="24">
        <f t="shared" si="38"/>
        <v>109.89330363322557</v>
      </c>
      <c r="K91" s="21">
        <v>12543331.57</v>
      </c>
      <c r="L91" s="21">
        <v>13819716.060000001</v>
      </c>
      <c r="M91" s="25">
        <f t="shared" si="39"/>
        <v>-9.2359675441841177E-2</v>
      </c>
      <c r="N91" s="10"/>
      <c r="R91" s="2"/>
    </row>
    <row r="92" spans="1:18" ht="15.75" customHeight="1" x14ac:dyDescent="0.25">
      <c r="A92" s="19"/>
      <c r="B92" s="20">
        <f>DATE(2022,1,1)</f>
        <v>44562</v>
      </c>
      <c r="C92" s="21">
        <v>184238</v>
      </c>
      <c r="D92" s="21">
        <v>267613</v>
      </c>
      <c r="E92" s="23">
        <f t="shared" si="35"/>
        <v>-0.31155063468516103</v>
      </c>
      <c r="F92" s="21">
        <f>+C92-86833</f>
        <v>97405</v>
      </c>
      <c r="G92" s="21">
        <f>+D92-127713</f>
        <v>139900</v>
      </c>
      <c r="H92" s="23">
        <f t="shared" si="36"/>
        <v>-0.30375268048606147</v>
      </c>
      <c r="I92" s="24">
        <f t="shared" si="37"/>
        <v>58.018854796513203</v>
      </c>
      <c r="J92" s="24">
        <f t="shared" si="38"/>
        <v>109.74054483856064</v>
      </c>
      <c r="K92" s="21">
        <v>10689277.77</v>
      </c>
      <c r="L92" s="21">
        <v>15933243.49</v>
      </c>
      <c r="M92" s="25">
        <f t="shared" si="39"/>
        <v>-0.3291210432634894</v>
      </c>
      <c r="N92" s="10"/>
      <c r="R92" s="2"/>
    </row>
    <row r="93" spans="1:18" ht="15.75" customHeight="1" x14ac:dyDescent="0.25">
      <c r="A93" s="19"/>
      <c r="B93" s="20">
        <f>DATE(2022,2,1)</f>
        <v>44593</v>
      </c>
      <c r="C93" s="21">
        <v>186083</v>
      </c>
      <c r="D93" s="21">
        <v>191978</v>
      </c>
      <c r="E93" s="23">
        <f t="shared" si="35"/>
        <v>-3.070664346956422E-2</v>
      </c>
      <c r="F93" s="21">
        <f>+C93-88690</f>
        <v>97393</v>
      </c>
      <c r="G93" s="21">
        <f>+D93-89920</f>
        <v>102058</v>
      </c>
      <c r="H93" s="23">
        <f t="shared" si="36"/>
        <v>-4.5709302553450001E-2</v>
      </c>
      <c r="I93" s="24">
        <f t="shared" si="37"/>
        <v>60.917259663698452</v>
      </c>
      <c r="J93" s="24">
        <f t="shared" si="38"/>
        <v>116.39097707227418</v>
      </c>
      <c r="K93" s="21">
        <v>11335666.43</v>
      </c>
      <c r="L93" s="21">
        <v>11645461.32</v>
      </c>
      <c r="M93" s="25">
        <f t="shared" si="39"/>
        <v>-2.6602199903232395E-2</v>
      </c>
      <c r="N93" s="10"/>
      <c r="R93" s="2"/>
    </row>
    <row r="94" spans="1:18" ht="15.75" customHeight="1" thickBot="1" x14ac:dyDescent="0.3">
      <c r="A94" s="19"/>
      <c r="B94" s="45"/>
      <c r="C94" s="21"/>
      <c r="D94" s="21"/>
      <c r="E94" s="23"/>
      <c r="F94" s="21"/>
      <c r="G94" s="21"/>
      <c r="H94" s="23"/>
      <c r="I94" s="24"/>
      <c r="J94" s="24"/>
      <c r="K94" s="21"/>
      <c r="L94" s="21"/>
      <c r="M94" s="25"/>
      <c r="N94" s="10"/>
      <c r="R94" s="2"/>
    </row>
    <row r="95" spans="1:18" ht="17.25" thickTop="1" thickBot="1" x14ac:dyDescent="0.3">
      <c r="A95" s="39" t="s">
        <v>14</v>
      </c>
      <c r="B95" s="40"/>
      <c r="C95" s="41">
        <f>SUM(C86:C94)</f>
        <v>1659621</v>
      </c>
      <c r="D95" s="41">
        <f>SUM(D86:D94)</f>
        <v>1710936</v>
      </c>
      <c r="E95" s="280">
        <f>(+C95-D95)/D95</f>
        <v>-2.9992355061790738E-2</v>
      </c>
      <c r="F95" s="41">
        <f>SUM(F86:F94)</f>
        <v>894725</v>
      </c>
      <c r="G95" s="41">
        <f>SUM(G86:G94)</f>
        <v>913739</v>
      </c>
      <c r="H95" s="42">
        <f>(+F95-G95)/G95</f>
        <v>-2.0809005635088355E-2</v>
      </c>
      <c r="I95" s="43">
        <f>K95/C95</f>
        <v>59.857264459777262</v>
      </c>
      <c r="J95" s="43">
        <f>K95/F95</f>
        <v>111.02894531839391</v>
      </c>
      <c r="K95" s="41">
        <f>SUM(K86:K94)</f>
        <v>99340373.099999994</v>
      </c>
      <c r="L95" s="41">
        <f>SUM(L86:L94)</f>
        <v>98315164.849999994</v>
      </c>
      <c r="M95" s="44">
        <f>(+K95-L95)/L95</f>
        <v>1.0427773289747986E-2</v>
      </c>
      <c r="N95" s="10"/>
      <c r="R95" s="2"/>
    </row>
    <row r="96" spans="1:18" ht="15.75" customHeight="1" thickTop="1" x14ac:dyDescent="0.2">
      <c r="A96" s="54"/>
      <c r="B96" s="55"/>
      <c r="C96" s="55"/>
      <c r="D96" s="55"/>
      <c r="E96" s="56"/>
      <c r="F96" s="55"/>
      <c r="G96" s="55"/>
      <c r="H96" s="56"/>
      <c r="I96" s="55"/>
      <c r="J96" s="55"/>
      <c r="K96" s="196"/>
      <c r="L96" s="196"/>
      <c r="M96" s="57"/>
      <c r="N96" s="10"/>
      <c r="R96" s="2"/>
    </row>
    <row r="97" spans="1:18" ht="15.75" customHeight="1" x14ac:dyDescent="0.25">
      <c r="A97" s="19" t="s">
        <v>16</v>
      </c>
      <c r="B97" s="20">
        <f>DATE(2021,7,1)</f>
        <v>44378</v>
      </c>
      <c r="C97" s="21">
        <v>292626</v>
      </c>
      <c r="D97" s="21">
        <v>211446</v>
      </c>
      <c r="E97" s="23">
        <f t="shared" ref="E97:E104" si="40">(+C97-D97)/D97</f>
        <v>0.38392781135609094</v>
      </c>
      <c r="F97" s="21">
        <f>+C97-144119</f>
        <v>148507</v>
      </c>
      <c r="G97" s="21">
        <f>+D97-102823</f>
        <v>108623</v>
      </c>
      <c r="H97" s="23">
        <f t="shared" ref="H97:H104" si="41">(+F97-G97)/G97</f>
        <v>0.36717822192353367</v>
      </c>
      <c r="I97" s="24">
        <f t="shared" ref="I97:I104" si="42">K97/C97</f>
        <v>61.884126359243538</v>
      </c>
      <c r="J97" s="24">
        <f t="shared" ref="J97:J104" si="43">K97/F97</f>
        <v>121.93973590470482</v>
      </c>
      <c r="K97" s="21">
        <v>18108904.359999999</v>
      </c>
      <c r="L97" s="21">
        <v>13827445.609999999</v>
      </c>
      <c r="M97" s="25">
        <f t="shared" ref="M97:M104" si="44">(+K97-L97)/L97</f>
        <v>0.3096348284967147</v>
      </c>
      <c r="N97" s="10"/>
      <c r="R97" s="2"/>
    </row>
    <row r="98" spans="1:18" ht="15.75" customHeight="1" x14ac:dyDescent="0.25">
      <c r="A98" s="19"/>
      <c r="B98" s="20">
        <f>DATE(2021,8,1)</f>
        <v>44409</v>
      </c>
      <c r="C98" s="21">
        <v>252812</v>
      </c>
      <c r="D98" s="21">
        <v>225551</v>
      </c>
      <c r="E98" s="23">
        <f t="shared" si="40"/>
        <v>0.12086401745059876</v>
      </c>
      <c r="F98" s="21">
        <f>+C98-122587</f>
        <v>130225</v>
      </c>
      <c r="G98" s="21">
        <f>+D98-110461</f>
        <v>115090</v>
      </c>
      <c r="H98" s="23">
        <f t="shared" si="41"/>
        <v>0.13150577808671474</v>
      </c>
      <c r="I98" s="24">
        <f t="shared" si="42"/>
        <v>64.409354381912252</v>
      </c>
      <c r="J98" s="24">
        <f t="shared" si="43"/>
        <v>125.04094989441352</v>
      </c>
      <c r="K98" s="21">
        <v>16283457.699999999</v>
      </c>
      <c r="L98" s="21">
        <v>14343284.68</v>
      </c>
      <c r="M98" s="25">
        <f t="shared" si="44"/>
        <v>0.13526699520266369</v>
      </c>
      <c r="N98" s="10"/>
      <c r="R98" s="2"/>
    </row>
    <row r="99" spans="1:18" ht="15.75" customHeight="1" x14ac:dyDescent="0.25">
      <c r="A99" s="19"/>
      <c r="B99" s="20">
        <f>DATE(2021,9,1)</f>
        <v>44440</v>
      </c>
      <c r="C99" s="21">
        <v>245992</v>
      </c>
      <c r="D99" s="21">
        <v>224827</v>
      </c>
      <c r="E99" s="23">
        <f t="shared" si="40"/>
        <v>9.4139049135557568E-2</v>
      </c>
      <c r="F99" s="21">
        <f>+C99-120862</f>
        <v>125130</v>
      </c>
      <c r="G99" s="21">
        <f>+D99-110393</f>
        <v>114434</v>
      </c>
      <c r="H99" s="23">
        <f t="shared" si="41"/>
        <v>9.3468724330181593E-2</v>
      </c>
      <c r="I99" s="24">
        <f t="shared" si="42"/>
        <v>58.827599881296948</v>
      </c>
      <c r="J99" s="24">
        <f t="shared" si="43"/>
        <v>115.64867697594501</v>
      </c>
      <c r="K99" s="21">
        <v>14471118.949999999</v>
      </c>
      <c r="L99" s="21">
        <v>13592591.220000001</v>
      </c>
      <c r="M99" s="25">
        <f t="shared" si="44"/>
        <v>6.4632836799163193E-2</v>
      </c>
      <c r="N99" s="10"/>
      <c r="R99" s="2"/>
    </row>
    <row r="100" spans="1:18" ht="15.75" customHeight="1" x14ac:dyDescent="0.25">
      <c r="A100" s="19"/>
      <c r="B100" s="20">
        <f>DATE(2021,10,1)</f>
        <v>44470</v>
      </c>
      <c r="C100" s="21">
        <v>265943</v>
      </c>
      <c r="D100" s="21">
        <v>236689</v>
      </c>
      <c r="E100" s="23">
        <f t="shared" si="40"/>
        <v>0.12359678734541951</v>
      </c>
      <c r="F100" s="21">
        <f>+C100-130327</f>
        <v>135616</v>
      </c>
      <c r="G100" s="21">
        <f>+D100-116990</f>
        <v>119699</v>
      </c>
      <c r="H100" s="23">
        <f t="shared" si="41"/>
        <v>0.13297521282550398</v>
      </c>
      <c r="I100" s="24">
        <f t="shared" si="42"/>
        <v>62.018882880918092</v>
      </c>
      <c r="J100" s="24">
        <f t="shared" si="43"/>
        <v>121.61904030497875</v>
      </c>
      <c r="K100" s="21">
        <v>16493487.77</v>
      </c>
      <c r="L100" s="21">
        <v>14448861.33</v>
      </c>
      <c r="M100" s="25">
        <f t="shared" si="44"/>
        <v>0.14150779035817623</v>
      </c>
      <c r="N100" s="10"/>
      <c r="R100" s="2"/>
    </row>
    <row r="101" spans="1:18" ht="15.75" customHeight="1" x14ac:dyDescent="0.25">
      <c r="A101" s="19"/>
      <c r="B101" s="20">
        <f>DATE(2021,11,1)</f>
        <v>44501</v>
      </c>
      <c r="C101" s="21">
        <v>251827</v>
      </c>
      <c r="D101" s="21">
        <v>217833</v>
      </c>
      <c r="E101" s="23">
        <f t="shared" si="40"/>
        <v>0.1560553267870341</v>
      </c>
      <c r="F101" s="21">
        <f>+C101-125798</f>
        <v>126029</v>
      </c>
      <c r="G101" s="21">
        <f>+D101-108450</f>
        <v>109383</v>
      </c>
      <c r="H101" s="23">
        <f t="shared" si="41"/>
        <v>0.15218086905643474</v>
      </c>
      <c r="I101" s="24">
        <f t="shared" si="42"/>
        <v>63.781932953972373</v>
      </c>
      <c r="J101" s="24">
        <f t="shared" si="43"/>
        <v>127.44695927127883</v>
      </c>
      <c r="K101" s="21">
        <v>16062012.83</v>
      </c>
      <c r="L101" s="21">
        <v>12584367.83</v>
      </c>
      <c r="M101" s="25">
        <f t="shared" si="44"/>
        <v>0.27634642017611782</v>
      </c>
      <c r="N101" s="10"/>
      <c r="R101" s="2"/>
    </row>
    <row r="102" spans="1:18" ht="15.75" customHeight="1" x14ac:dyDescent="0.25">
      <c r="A102" s="19"/>
      <c r="B102" s="20">
        <f>DATE(2021,12,1)</f>
        <v>44531</v>
      </c>
      <c r="C102" s="21">
        <v>268015</v>
      </c>
      <c r="D102" s="21">
        <v>232838</v>
      </c>
      <c r="E102" s="23">
        <f t="shared" si="40"/>
        <v>0.15107929118099278</v>
      </c>
      <c r="F102" s="21">
        <f>+C102-132764</f>
        <v>135251</v>
      </c>
      <c r="G102" s="21">
        <f>+D102-115697</f>
        <v>117141</v>
      </c>
      <c r="H102" s="23">
        <f t="shared" si="41"/>
        <v>0.15460001195140899</v>
      </c>
      <c r="I102" s="24">
        <f t="shared" si="42"/>
        <v>62.532376695334214</v>
      </c>
      <c r="J102" s="24">
        <f t="shared" si="43"/>
        <v>123.9149059156679</v>
      </c>
      <c r="K102" s="21">
        <v>16759614.939999999</v>
      </c>
      <c r="L102" s="21">
        <v>14119546.369999999</v>
      </c>
      <c r="M102" s="25">
        <f t="shared" si="44"/>
        <v>0.1869797018131823</v>
      </c>
      <c r="N102" s="10"/>
      <c r="R102" s="2"/>
    </row>
    <row r="103" spans="1:18" ht="15.75" customHeight="1" x14ac:dyDescent="0.25">
      <c r="A103" s="19"/>
      <c r="B103" s="20">
        <f>DATE(2022,1,1)</f>
        <v>44562</v>
      </c>
      <c r="C103" s="21">
        <v>234359</v>
      </c>
      <c r="D103" s="21">
        <v>260524</v>
      </c>
      <c r="E103" s="23">
        <f t="shared" si="40"/>
        <v>-0.1004322058620319</v>
      </c>
      <c r="F103" s="21">
        <f>+C103-117571</f>
        <v>116788</v>
      </c>
      <c r="G103" s="21">
        <f>+D103-129652</f>
        <v>130872</v>
      </c>
      <c r="H103" s="23">
        <f t="shared" si="41"/>
        <v>-0.10761660248181429</v>
      </c>
      <c r="I103" s="24">
        <f t="shared" si="42"/>
        <v>63.592349387051492</v>
      </c>
      <c r="J103" s="24">
        <f t="shared" si="43"/>
        <v>127.61105087851492</v>
      </c>
      <c r="K103" s="21">
        <v>14903439.41</v>
      </c>
      <c r="L103" s="21">
        <v>15741735.039999999</v>
      </c>
      <c r="M103" s="25">
        <f t="shared" si="44"/>
        <v>-5.3253064409347281E-2</v>
      </c>
      <c r="N103" s="10"/>
      <c r="R103" s="2"/>
    </row>
    <row r="104" spans="1:18" ht="15.75" customHeight="1" x14ac:dyDescent="0.25">
      <c r="A104" s="19"/>
      <c r="B104" s="20">
        <f>DATE(2022,2,1)</f>
        <v>44593</v>
      </c>
      <c r="C104" s="21">
        <v>253600</v>
      </c>
      <c r="D104" s="21">
        <v>219600</v>
      </c>
      <c r="E104" s="23">
        <f t="shared" si="40"/>
        <v>0.15482695810564662</v>
      </c>
      <c r="F104" s="21">
        <f>+C104-127165</f>
        <v>126435</v>
      </c>
      <c r="G104" s="21">
        <f>+D104-109391</f>
        <v>110209</v>
      </c>
      <c r="H104" s="23">
        <f t="shared" si="41"/>
        <v>0.14722935513433566</v>
      </c>
      <c r="I104" s="24">
        <f t="shared" si="42"/>
        <v>62.982297634069397</v>
      </c>
      <c r="J104" s="24">
        <f t="shared" si="43"/>
        <v>126.32823727607071</v>
      </c>
      <c r="K104" s="21">
        <v>15972310.68</v>
      </c>
      <c r="L104" s="21">
        <v>13340742.960000001</v>
      </c>
      <c r="M104" s="25">
        <f t="shared" si="44"/>
        <v>0.19725795841283481</v>
      </c>
      <c r="N104" s="10"/>
      <c r="R104" s="2"/>
    </row>
    <row r="105" spans="1:18" ht="15.75" customHeight="1" thickBot="1" x14ac:dyDescent="0.3">
      <c r="A105" s="19"/>
      <c r="B105" s="45"/>
      <c r="C105" s="21"/>
      <c r="D105" s="21"/>
      <c r="E105" s="23"/>
      <c r="F105" s="21"/>
      <c r="G105" s="21"/>
      <c r="H105" s="23"/>
      <c r="I105" s="24"/>
      <c r="J105" s="24"/>
      <c r="K105" s="21"/>
      <c r="L105" s="21"/>
      <c r="M105" s="25"/>
      <c r="N105" s="10"/>
      <c r="R105" s="2"/>
    </row>
    <row r="106" spans="1:18" ht="17.25" thickTop="1" thickBot="1" x14ac:dyDescent="0.3">
      <c r="A106" s="39" t="s">
        <v>14</v>
      </c>
      <c r="B106" s="40"/>
      <c r="C106" s="41">
        <f>SUM(C97:C105)</f>
        <v>2065174</v>
      </c>
      <c r="D106" s="41">
        <f>SUM(D97:D105)</f>
        <v>1829308</v>
      </c>
      <c r="E106" s="280">
        <f>(+C106-D106)/D106</f>
        <v>0.12893728120141607</v>
      </c>
      <c r="F106" s="41">
        <f>SUM(F97:F105)</f>
        <v>1043981</v>
      </c>
      <c r="G106" s="41">
        <f>SUM(G97:G105)</f>
        <v>925451</v>
      </c>
      <c r="H106" s="42">
        <f>(+F106-G106)/G106</f>
        <v>0.12807809381588003</v>
      </c>
      <c r="I106" s="43">
        <f>K106/C106</f>
        <v>62.490786074200038</v>
      </c>
      <c r="J106" s="43">
        <f>K106/F106</f>
        <v>123.61752430360322</v>
      </c>
      <c r="K106" s="41">
        <f>SUM(K97:K105)</f>
        <v>129054346.63999999</v>
      </c>
      <c r="L106" s="41">
        <f>SUM(L97:L105)</f>
        <v>111998575.04000002</v>
      </c>
      <c r="M106" s="44">
        <f>(+K106-L106)/L106</f>
        <v>0.1522856125080925</v>
      </c>
      <c r="N106" s="10"/>
      <c r="R106" s="2"/>
    </row>
    <row r="107" spans="1:18" ht="15.75" customHeight="1" thickTop="1" x14ac:dyDescent="0.2">
      <c r="A107" s="54"/>
      <c r="B107" s="55"/>
      <c r="C107" s="55"/>
      <c r="D107" s="55"/>
      <c r="E107" s="56"/>
      <c r="F107" s="55"/>
      <c r="G107" s="55"/>
      <c r="H107" s="56"/>
      <c r="I107" s="55"/>
      <c r="J107" s="55"/>
      <c r="K107" s="196"/>
      <c r="L107" s="196"/>
      <c r="M107" s="57"/>
      <c r="N107" s="10"/>
      <c r="R107" s="2"/>
    </row>
    <row r="108" spans="1:18" ht="15.75" customHeight="1" x14ac:dyDescent="0.25">
      <c r="A108" s="19" t="s">
        <v>54</v>
      </c>
      <c r="B108" s="20">
        <f>DATE(2021,7,1)</f>
        <v>44378</v>
      </c>
      <c r="C108" s="21">
        <v>338901</v>
      </c>
      <c r="D108" s="21">
        <v>223492</v>
      </c>
      <c r="E108" s="23">
        <f t="shared" ref="E108:E115" si="45">(+C108-D108)/D108</f>
        <v>0.51638984840620694</v>
      </c>
      <c r="F108" s="21">
        <f>+C108-160819</f>
        <v>178082</v>
      </c>
      <c r="G108" s="21">
        <f>+D108-109534</f>
        <v>113958</v>
      </c>
      <c r="H108" s="23">
        <f t="shared" ref="H108:H115" si="46">(+F108-G108)/G108</f>
        <v>0.56269853805788095</v>
      </c>
      <c r="I108" s="24">
        <f t="shared" ref="I108:I115" si="47">K108/C108</f>
        <v>59.424074818309769</v>
      </c>
      <c r="J108" s="24">
        <f t="shared" ref="J108:J115" si="48">K108/F108</f>
        <v>113.08766961287496</v>
      </c>
      <c r="K108" s="21">
        <v>20138878.379999999</v>
      </c>
      <c r="L108" s="21">
        <v>15036571.48</v>
      </c>
      <c r="M108" s="25">
        <f t="shared" ref="M108:M115" si="49">(+K108-L108)/L108</f>
        <v>0.33932648189027187</v>
      </c>
      <c r="N108" s="10"/>
      <c r="R108" s="2"/>
    </row>
    <row r="109" spans="1:18" ht="15.75" customHeight="1" x14ac:dyDescent="0.25">
      <c r="A109" s="19"/>
      <c r="B109" s="20">
        <f>DATE(2021,8,1)</f>
        <v>44409</v>
      </c>
      <c r="C109" s="21">
        <v>315503</v>
      </c>
      <c r="D109" s="21">
        <v>243172</v>
      </c>
      <c r="E109" s="23">
        <f t="shared" si="45"/>
        <v>0.29744789696182128</v>
      </c>
      <c r="F109" s="21">
        <f>+C109-149989</f>
        <v>165514</v>
      </c>
      <c r="G109" s="21">
        <f>+D109-117936</f>
        <v>125236</v>
      </c>
      <c r="H109" s="23">
        <f t="shared" si="46"/>
        <v>0.32161678750519018</v>
      </c>
      <c r="I109" s="24">
        <f t="shared" si="47"/>
        <v>60.83894787054323</v>
      </c>
      <c r="J109" s="24">
        <f t="shared" si="48"/>
        <v>115.97128079799896</v>
      </c>
      <c r="K109" s="21">
        <v>19194870.57</v>
      </c>
      <c r="L109" s="21">
        <v>15861571.800000001</v>
      </c>
      <c r="M109" s="25">
        <f t="shared" si="49"/>
        <v>0.21014933526323032</v>
      </c>
      <c r="N109" s="10"/>
      <c r="R109" s="2"/>
    </row>
    <row r="110" spans="1:18" ht="15.75" customHeight="1" x14ac:dyDescent="0.25">
      <c r="A110" s="19"/>
      <c r="B110" s="20">
        <f>DATE(2021,9,1)</f>
        <v>44440</v>
      </c>
      <c r="C110" s="21">
        <v>329297</v>
      </c>
      <c r="D110" s="21">
        <v>258989</v>
      </c>
      <c r="E110" s="23">
        <f t="shared" si="45"/>
        <v>0.27147098911536782</v>
      </c>
      <c r="F110" s="21">
        <f>+C110-155913</f>
        <v>173384</v>
      </c>
      <c r="G110" s="21">
        <f>+D110-126754</f>
        <v>132235</v>
      </c>
      <c r="H110" s="23">
        <f t="shared" si="46"/>
        <v>0.3111808522705789</v>
      </c>
      <c r="I110" s="24">
        <f t="shared" si="47"/>
        <v>59.145045171987604</v>
      </c>
      <c r="J110" s="24">
        <f t="shared" si="48"/>
        <v>112.33035308909704</v>
      </c>
      <c r="K110" s="21">
        <v>19476285.940000001</v>
      </c>
      <c r="L110" s="21">
        <v>16406074.949999999</v>
      </c>
      <c r="M110" s="25">
        <f t="shared" si="49"/>
        <v>0.18713866658277106</v>
      </c>
      <c r="N110" s="10"/>
      <c r="R110" s="2"/>
    </row>
    <row r="111" spans="1:18" ht="15.75" customHeight="1" x14ac:dyDescent="0.25">
      <c r="A111" s="19"/>
      <c r="B111" s="20">
        <f>DATE(2021,10,1)</f>
        <v>44470</v>
      </c>
      <c r="C111" s="21">
        <v>343168</v>
      </c>
      <c r="D111" s="21">
        <v>272659</v>
      </c>
      <c r="E111" s="23">
        <f t="shared" si="45"/>
        <v>0.25859773563315352</v>
      </c>
      <c r="F111" s="21">
        <f>+C111-164416</f>
        <v>178752</v>
      </c>
      <c r="G111" s="21">
        <f>+D111-130567</f>
        <v>142092</v>
      </c>
      <c r="H111" s="23">
        <f t="shared" si="46"/>
        <v>0.25800185795118658</v>
      </c>
      <c r="I111" s="24">
        <f t="shared" si="47"/>
        <v>61.274948392624019</v>
      </c>
      <c r="J111" s="24">
        <f t="shared" si="48"/>
        <v>117.63561520989974</v>
      </c>
      <c r="K111" s="21">
        <v>21027601.489999998</v>
      </c>
      <c r="L111" s="21">
        <v>16384207.619999999</v>
      </c>
      <c r="M111" s="25">
        <f t="shared" si="49"/>
        <v>0.28340667902254035</v>
      </c>
      <c r="N111" s="10"/>
      <c r="R111" s="2"/>
    </row>
    <row r="112" spans="1:18" ht="15.75" customHeight="1" x14ac:dyDescent="0.25">
      <c r="A112" s="19"/>
      <c r="B112" s="20">
        <f>DATE(2021,11,1)</f>
        <v>44501</v>
      </c>
      <c r="C112" s="21">
        <v>319143</v>
      </c>
      <c r="D112" s="21">
        <v>229316</v>
      </c>
      <c r="E112" s="23">
        <f t="shared" si="45"/>
        <v>0.39171710652549319</v>
      </c>
      <c r="F112" s="21">
        <f>+C112-158694</f>
        <v>160449</v>
      </c>
      <c r="G112" s="21">
        <f>+D112-112072</f>
        <v>117244</v>
      </c>
      <c r="H112" s="23">
        <f t="shared" si="46"/>
        <v>0.36850499812357135</v>
      </c>
      <c r="I112" s="24">
        <f t="shared" si="47"/>
        <v>62.148735331810506</v>
      </c>
      <c r="J112" s="24">
        <f t="shared" si="48"/>
        <v>123.61768437322763</v>
      </c>
      <c r="K112" s="21">
        <v>19834333.84</v>
      </c>
      <c r="L112" s="21">
        <v>14486891.189999999</v>
      </c>
      <c r="M112" s="25">
        <f t="shared" si="49"/>
        <v>0.36912285595761424</v>
      </c>
      <c r="N112" s="10"/>
      <c r="R112" s="2"/>
    </row>
    <row r="113" spans="1:18" ht="15.75" customHeight="1" x14ac:dyDescent="0.25">
      <c r="A113" s="19"/>
      <c r="B113" s="20">
        <f>DATE(2021,12,1)</f>
        <v>44531</v>
      </c>
      <c r="C113" s="21">
        <v>337706</v>
      </c>
      <c r="D113" s="21">
        <v>224469</v>
      </c>
      <c r="E113" s="23">
        <f t="shared" si="45"/>
        <v>0.50446609554103239</v>
      </c>
      <c r="F113" s="21">
        <f>+C113-167775</f>
        <v>169931</v>
      </c>
      <c r="G113" s="21">
        <f>+D113-110658</f>
        <v>113811</v>
      </c>
      <c r="H113" s="23">
        <f t="shared" si="46"/>
        <v>0.49309820667598037</v>
      </c>
      <c r="I113" s="24">
        <f t="shared" si="47"/>
        <v>64.779938171071876</v>
      </c>
      <c r="J113" s="24">
        <f t="shared" si="48"/>
        <v>128.73798070981752</v>
      </c>
      <c r="K113" s="21">
        <v>21876573.800000001</v>
      </c>
      <c r="L113" s="21">
        <v>14094420.289999999</v>
      </c>
      <c r="M113" s="25">
        <f t="shared" si="49"/>
        <v>0.55214427765584972</v>
      </c>
      <c r="N113" s="10"/>
      <c r="R113" s="2"/>
    </row>
    <row r="114" spans="1:18" ht="15.75" customHeight="1" x14ac:dyDescent="0.25">
      <c r="A114" s="19"/>
      <c r="B114" s="20">
        <f>DATE(2022,1,1)</f>
        <v>44562</v>
      </c>
      <c r="C114" s="21">
        <v>310561</v>
      </c>
      <c r="D114" s="21">
        <v>245222</v>
      </c>
      <c r="E114" s="23">
        <f t="shared" si="45"/>
        <v>0.26644836107690173</v>
      </c>
      <c r="F114" s="21">
        <f>+C114-154923</f>
        <v>155638</v>
      </c>
      <c r="G114" s="21">
        <f>+D114-119074</f>
        <v>126148</v>
      </c>
      <c r="H114" s="23">
        <f t="shared" si="46"/>
        <v>0.23377302850619908</v>
      </c>
      <c r="I114" s="24">
        <f t="shared" si="47"/>
        <v>60.408094609432609</v>
      </c>
      <c r="J114" s="24">
        <f t="shared" si="48"/>
        <v>120.53867480949383</v>
      </c>
      <c r="K114" s="21">
        <v>18760398.27</v>
      </c>
      <c r="L114" s="21">
        <v>15688493.17</v>
      </c>
      <c r="M114" s="25">
        <f t="shared" si="49"/>
        <v>0.19580625536901067</v>
      </c>
      <c r="N114" s="10"/>
      <c r="R114" s="2"/>
    </row>
    <row r="115" spans="1:18" ht="15.75" customHeight="1" x14ac:dyDescent="0.25">
      <c r="A115" s="19"/>
      <c r="B115" s="20">
        <f>DATE(2022,2,1)</f>
        <v>44593</v>
      </c>
      <c r="C115" s="21">
        <v>301787</v>
      </c>
      <c r="D115" s="21">
        <v>206903</v>
      </c>
      <c r="E115" s="23">
        <f t="shared" si="45"/>
        <v>0.45859170722512482</v>
      </c>
      <c r="F115" s="21">
        <f>+C115-149992</f>
        <v>151795</v>
      </c>
      <c r="G115" s="21">
        <f>+D115-98743</f>
        <v>108160</v>
      </c>
      <c r="H115" s="23">
        <f t="shared" si="46"/>
        <v>0.40343010355029585</v>
      </c>
      <c r="I115" s="24">
        <f t="shared" si="47"/>
        <v>64.566578016945726</v>
      </c>
      <c r="J115" s="24">
        <f t="shared" si="48"/>
        <v>128.36624315688923</v>
      </c>
      <c r="K115" s="21">
        <v>19485353.879999999</v>
      </c>
      <c r="L115" s="21">
        <v>13345364.67</v>
      </c>
      <c r="M115" s="25">
        <f t="shared" si="49"/>
        <v>0.46008403380707313</v>
      </c>
      <c r="N115" s="10"/>
      <c r="R115" s="2"/>
    </row>
    <row r="116" spans="1:18" ht="15.75" customHeight="1" thickBot="1" x14ac:dyDescent="0.3">
      <c r="A116" s="19"/>
      <c r="B116" s="45"/>
      <c r="C116" s="21"/>
      <c r="D116" s="21"/>
      <c r="E116" s="23"/>
      <c r="F116" s="21"/>
      <c r="G116" s="21"/>
      <c r="H116" s="23"/>
      <c r="I116" s="24"/>
      <c r="J116" s="24"/>
      <c r="K116" s="21"/>
      <c r="L116" s="21"/>
      <c r="M116" s="25"/>
      <c r="N116" s="10"/>
      <c r="R116" s="2"/>
    </row>
    <row r="117" spans="1:18" ht="17.25" thickTop="1" thickBot="1" x14ac:dyDescent="0.3">
      <c r="A117" s="39" t="s">
        <v>14</v>
      </c>
      <c r="B117" s="40"/>
      <c r="C117" s="41">
        <f>SUM(C108:C116)</f>
        <v>2596066</v>
      </c>
      <c r="D117" s="41">
        <f>SUM(D108:D116)</f>
        <v>1904222</v>
      </c>
      <c r="E117" s="280">
        <f>(+C117-D117)/D117</f>
        <v>0.36332108336107871</v>
      </c>
      <c r="F117" s="41">
        <f>SUM(F108:F116)</f>
        <v>1333545</v>
      </c>
      <c r="G117" s="41">
        <f>SUM(G108:G116)</f>
        <v>978884</v>
      </c>
      <c r="H117" s="42">
        <f>(+F117-G117)/G117</f>
        <v>0.36231157113611012</v>
      </c>
      <c r="I117" s="43">
        <f>K117/C117</f>
        <v>61.552478315266249</v>
      </c>
      <c r="J117" s="43">
        <f>K117/F117</f>
        <v>119.82669963893231</v>
      </c>
      <c r="K117" s="41">
        <f>SUM(K108:K116)</f>
        <v>159794296.16999999</v>
      </c>
      <c r="L117" s="41">
        <f>SUM(L108:L116)</f>
        <v>121303595.17000002</v>
      </c>
      <c r="M117" s="44">
        <f>(+K117-L117)/L117</f>
        <v>0.31730882292530133</v>
      </c>
      <c r="N117" s="10"/>
      <c r="R117" s="2"/>
    </row>
    <row r="118" spans="1:18" ht="15.75" customHeight="1" thickTop="1" x14ac:dyDescent="0.2">
      <c r="A118" s="58"/>
      <c r="B118" s="59"/>
      <c r="C118" s="59"/>
      <c r="D118" s="59"/>
      <c r="E118" s="60"/>
      <c r="F118" s="59"/>
      <c r="G118" s="59"/>
      <c r="H118" s="60"/>
      <c r="I118" s="59"/>
      <c r="J118" s="59"/>
      <c r="K118" s="197"/>
      <c r="L118" s="197"/>
      <c r="M118" s="61"/>
      <c r="N118" s="10"/>
      <c r="R118" s="2"/>
    </row>
    <row r="119" spans="1:18" ht="15" customHeight="1" x14ac:dyDescent="0.25">
      <c r="A119" s="19" t="s">
        <v>55</v>
      </c>
      <c r="B119" s="20">
        <f>DATE(2021,7,1)</f>
        <v>44378</v>
      </c>
      <c r="C119" s="21">
        <v>54523</v>
      </c>
      <c r="D119" s="21">
        <v>43226</v>
      </c>
      <c r="E119" s="23">
        <f t="shared" ref="E119:E126" si="50">(+C119-D119)/D119</f>
        <v>0.26134733725072873</v>
      </c>
      <c r="F119" s="21">
        <f>+C119-27936</f>
        <v>26587</v>
      </c>
      <c r="G119" s="21">
        <f>+D119-22161</f>
        <v>21065</v>
      </c>
      <c r="H119" s="23">
        <f t="shared" ref="H119:H126" si="51">(+F119-G119)/G119</f>
        <v>0.26214099216710185</v>
      </c>
      <c r="I119" s="24">
        <f t="shared" ref="I119:I126" si="52">K119/C119</f>
        <v>66.702283806833819</v>
      </c>
      <c r="J119" s="24">
        <f t="shared" ref="J119:J126" si="53">K119/F119</f>
        <v>136.78898032873209</v>
      </c>
      <c r="K119" s="21">
        <v>3636808.62</v>
      </c>
      <c r="L119" s="21">
        <v>2973337.45</v>
      </c>
      <c r="M119" s="25">
        <f t="shared" ref="M119:M126" si="54">(+K119-L119)/L119</f>
        <v>0.22314021908276838</v>
      </c>
      <c r="N119" s="10"/>
      <c r="R119" s="2"/>
    </row>
    <row r="120" spans="1:18" ht="15" customHeight="1" x14ac:dyDescent="0.25">
      <c r="A120" s="19"/>
      <c r="B120" s="20">
        <f>DATE(2021,8,1)</f>
        <v>44409</v>
      </c>
      <c r="C120" s="21">
        <v>47684</v>
      </c>
      <c r="D120" s="21">
        <v>46706</v>
      </c>
      <c r="E120" s="23">
        <f t="shared" si="50"/>
        <v>2.0939493855179205E-2</v>
      </c>
      <c r="F120" s="21">
        <f>+C120-24640</f>
        <v>23044</v>
      </c>
      <c r="G120" s="21">
        <f>+D120-23797</f>
        <v>22909</v>
      </c>
      <c r="H120" s="23">
        <f t="shared" si="51"/>
        <v>5.8928805273036795E-3</v>
      </c>
      <c r="I120" s="24">
        <f t="shared" si="52"/>
        <v>67.626973198557167</v>
      </c>
      <c r="J120" s="24">
        <f t="shared" si="53"/>
        <v>139.93771003298039</v>
      </c>
      <c r="K120" s="21">
        <v>3224724.59</v>
      </c>
      <c r="L120" s="21">
        <v>3072719.82</v>
      </c>
      <c r="M120" s="25">
        <f t="shared" si="54"/>
        <v>4.9469127972754781E-2</v>
      </c>
      <c r="N120" s="10"/>
      <c r="R120" s="2"/>
    </row>
    <row r="121" spans="1:18" ht="15" customHeight="1" x14ac:dyDescent="0.25">
      <c r="A121" s="19"/>
      <c r="B121" s="20">
        <f>DATE(2021,9,1)</f>
        <v>44440</v>
      </c>
      <c r="C121" s="21">
        <v>47289</v>
      </c>
      <c r="D121" s="21">
        <v>44655</v>
      </c>
      <c r="E121" s="23">
        <f t="shared" si="50"/>
        <v>5.8985555928787368E-2</v>
      </c>
      <c r="F121" s="21">
        <f>+C121-24190</f>
        <v>23099</v>
      </c>
      <c r="G121" s="21">
        <f>+D121-22941</f>
        <v>21714</v>
      </c>
      <c r="H121" s="23">
        <f t="shared" si="51"/>
        <v>6.3783733996499947E-2</v>
      </c>
      <c r="I121" s="24">
        <f t="shared" si="52"/>
        <v>66.497497303812722</v>
      </c>
      <c r="J121" s="24">
        <f t="shared" si="53"/>
        <v>136.13576994675094</v>
      </c>
      <c r="K121" s="21">
        <v>3144600.15</v>
      </c>
      <c r="L121" s="21">
        <v>2816158.99</v>
      </c>
      <c r="M121" s="25">
        <f t="shared" si="54"/>
        <v>0.11662734993523916</v>
      </c>
      <c r="N121" s="10"/>
      <c r="R121" s="2"/>
    </row>
    <row r="122" spans="1:18" ht="15" customHeight="1" x14ac:dyDescent="0.25">
      <c r="A122" s="19"/>
      <c r="B122" s="20">
        <f>DATE(2021,10,1)</f>
        <v>44470</v>
      </c>
      <c r="C122" s="21">
        <v>51019</v>
      </c>
      <c r="D122" s="21">
        <v>42403</v>
      </c>
      <c r="E122" s="23">
        <f t="shared" si="50"/>
        <v>0.20319317029455464</v>
      </c>
      <c r="F122" s="21">
        <f>+C122-26626</f>
        <v>24393</v>
      </c>
      <c r="G122" s="21">
        <f>+D122-22277</f>
        <v>20126</v>
      </c>
      <c r="H122" s="23">
        <f t="shared" si="51"/>
        <v>0.21201430984795785</v>
      </c>
      <c r="I122" s="24">
        <f t="shared" si="52"/>
        <v>68.506604010270692</v>
      </c>
      <c r="J122" s="24">
        <f t="shared" si="53"/>
        <v>143.28448448325341</v>
      </c>
      <c r="K122" s="21">
        <v>3495138.43</v>
      </c>
      <c r="L122" s="21">
        <v>2872212.37</v>
      </c>
      <c r="M122" s="25">
        <f t="shared" si="54"/>
        <v>0.21688022324059555</v>
      </c>
      <c r="N122" s="10"/>
      <c r="R122" s="2"/>
    </row>
    <row r="123" spans="1:18" ht="15" customHeight="1" x14ac:dyDescent="0.25">
      <c r="A123" s="19"/>
      <c r="B123" s="20">
        <f>DATE(2021,11,1)</f>
        <v>44501</v>
      </c>
      <c r="C123" s="21">
        <v>42978</v>
      </c>
      <c r="D123" s="21">
        <v>37816</v>
      </c>
      <c r="E123" s="23">
        <f t="shared" si="50"/>
        <v>0.13650306748466257</v>
      </c>
      <c r="F123" s="21">
        <f>+C123-22231</f>
        <v>20747</v>
      </c>
      <c r="G123" s="21">
        <f>+D123-19316</f>
        <v>18500</v>
      </c>
      <c r="H123" s="23">
        <f t="shared" si="51"/>
        <v>0.12145945945945946</v>
      </c>
      <c r="I123" s="24">
        <f t="shared" si="52"/>
        <v>74.270796453999722</v>
      </c>
      <c r="J123" s="24">
        <f t="shared" si="53"/>
        <v>153.85406516604812</v>
      </c>
      <c r="K123" s="21">
        <v>3192010.29</v>
      </c>
      <c r="L123" s="21">
        <v>2647748.7999999998</v>
      </c>
      <c r="M123" s="25">
        <f t="shared" si="54"/>
        <v>0.20555631636958924</v>
      </c>
      <c r="N123" s="10"/>
      <c r="R123" s="2"/>
    </row>
    <row r="124" spans="1:18" ht="15" customHeight="1" x14ac:dyDescent="0.25">
      <c r="A124" s="19"/>
      <c r="B124" s="20">
        <f>DATE(2021,12,1)</f>
        <v>44531</v>
      </c>
      <c r="C124" s="21">
        <v>46732</v>
      </c>
      <c r="D124" s="21">
        <v>48198</v>
      </c>
      <c r="E124" s="23">
        <f t="shared" si="50"/>
        <v>-3.041619984231711E-2</v>
      </c>
      <c r="F124" s="21">
        <f>+C124-24398</f>
        <v>22334</v>
      </c>
      <c r="G124" s="21">
        <f>+D124-24463</f>
        <v>23735</v>
      </c>
      <c r="H124" s="23">
        <f t="shared" si="51"/>
        <v>-5.9026753739203706E-2</v>
      </c>
      <c r="I124" s="24">
        <f t="shared" si="52"/>
        <v>67.883801035692883</v>
      </c>
      <c r="J124" s="24">
        <f t="shared" si="53"/>
        <v>142.04109384794484</v>
      </c>
      <c r="K124" s="21">
        <v>3172345.79</v>
      </c>
      <c r="L124" s="21">
        <v>3323052.33</v>
      </c>
      <c r="M124" s="25">
        <f t="shared" si="54"/>
        <v>-4.5351840727708322E-2</v>
      </c>
      <c r="N124" s="10"/>
      <c r="R124" s="2"/>
    </row>
    <row r="125" spans="1:18" ht="15" customHeight="1" x14ac:dyDescent="0.25">
      <c r="A125" s="19"/>
      <c r="B125" s="20">
        <f>DATE(2022,1,1)</f>
        <v>44562</v>
      </c>
      <c r="C125" s="21">
        <v>38219</v>
      </c>
      <c r="D125" s="21">
        <v>49456</v>
      </c>
      <c r="E125" s="23">
        <f t="shared" si="50"/>
        <v>-0.22721206729213847</v>
      </c>
      <c r="F125" s="21">
        <f>+C125-20352</f>
        <v>17867</v>
      </c>
      <c r="G125" s="21">
        <f>+D125-25797</f>
        <v>23659</v>
      </c>
      <c r="H125" s="23">
        <f t="shared" si="51"/>
        <v>-0.24481169956464771</v>
      </c>
      <c r="I125" s="24">
        <f t="shared" si="52"/>
        <v>74.004938643083278</v>
      </c>
      <c r="J125" s="24">
        <f t="shared" si="53"/>
        <v>158.30272289696089</v>
      </c>
      <c r="K125" s="21">
        <v>2828394.75</v>
      </c>
      <c r="L125" s="21">
        <v>3510894.63</v>
      </c>
      <c r="M125" s="25">
        <f t="shared" si="54"/>
        <v>-0.19439486282731303</v>
      </c>
      <c r="N125" s="10"/>
      <c r="R125" s="2"/>
    </row>
    <row r="126" spans="1:18" ht="15" customHeight="1" x14ac:dyDescent="0.25">
      <c r="A126" s="19"/>
      <c r="B126" s="20">
        <f>DATE(2022,2,1)</f>
        <v>44593</v>
      </c>
      <c r="C126" s="21">
        <v>40513</v>
      </c>
      <c r="D126" s="21">
        <v>37429</v>
      </c>
      <c r="E126" s="23">
        <f t="shared" si="50"/>
        <v>8.2396003099201157E-2</v>
      </c>
      <c r="F126" s="21">
        <f>+C126-21623</f>
        <v>18890</v>
      </c>
      <c r="G126" s="21">
        <f>+D126-19952</f>
        <v>17477</v>
      </c>
      <c r="H126" s="23">
        <f t="shared" si="51"/>
        <v>8.0849115981003611E-2</v>
      </c>
      <c r="I126" s="24">
        <f t="shared" si="52"/>
        <v>73.4469397477353</v>
      </c>
      <c r="J126" s="24">
        <f t="shared" si="53"/>
        <v>157.52016251985177</v>
      </c>
      <c r="K126" s="21">
        <v>2975555.87</v>
      </c>
      <c r="L126" s="21">
        <v>2627318.7000000002</v>
      </c>
      <c r="M126" s="25">
        <f t="shared" si="54"/>
        <v>0.13254470042024208</v>
      </c>
      <c r="N126" s="10"/>
      <c r="R126" s="2"/>
    </row>
    <row r="127" spans="1:18" ht="15.75" thickBot="1" x14ac:dyDescent="0.25">
      <c r="A127" s="38"/>
      <c r="B127" s="20"/>
      <c r="C127" s="21"/>
      <c r="D127" s="21"/>
      <c r="E127" s="23"/>
      <c r="F127" s="21"/>
      <c r="G127" s="21"/>
      <c r="H127" s="23"/>
      <c r="I127" s="24"/>
      <c r="J127" s="24"/>
      <c r="K127" s="21"/>
      <c r="L127" s="21"/>
      <c r="M127" s="25"/>
      <c r="N127" s="10"/>
      <c r="R127" s="2"/>
    </row>
    <row r="128" spans="1:18" ht="17.25" thickTop="1" thickBot="1" x14ac:dyDescent="0.3">
      <c r="A128" s="62" t="s">
        <v>14</v>
      </c>
      <c r="B128" s="52"/>
      <c r="C128" s="48">
        <f>SUM(C119:C127)</f>
        <v>368957</v>
      </c>
      <c r="D128" s="48">
        <f>SUM(D119:D127)</f>
        <v>349889</v>
      </c>
      <c r="E128" s="280">
        <f>(+C128-D128)/D128</f>
        <v>5.4497283424171664E-2</v>
      </c>
      <c r="F128" s="48">
        <f>SUM(F119:F127)</f>
        <v>176961</v>
      </c>
      <c r="G128" s="48">
        <f>SUM(G119:G127)</f>
        <v>169185</v>
      </c>
      <c r="H128" s="42">
        <f>(+F128-G128)/G128</f>
        <v>4.5961521411472646E-2</v>
      </c>
      <c r="I128" s="50">
        <f>K128/C128</f>
        <v>69.573360825245217</v>
      </c>
      <c r="J128" s="50">
        <f>K128/F128</f>
        <v>145.05782906968201</v>
      </c>
      <c r="K128" s="48">
        <f>SUM(K119:K127)</f>
        <v>25669578.489999998</v>
      </c>
      <c r="L128" s="48">
        <f>SUM(L119:L127)</f>
        <v>23843443.089999996</v>
      </c>
      <c r="M128" s="44">
        <f>(+K128-L128)/L128</f>
        <v>7.6588577962798013E-2</v>
      </c>
      <c r="N128" s="10"/>
      <c r="R128" s="2"/>
    </row>
    <row r="129" spans="1:18" ht="15.75" customHeight="1" thickTop="1" x14ac:dyDescent="0.25">
      <c r="A129" s="19"/>
      <c r="B129" s="45"/>
      <c r="C129" s="21"/>
      <c r="D129" s="21"/>
      <c r="E129" s="23"/>
      <c r="F129" s="21"/>
      <c r="G129" s="21"/>
      <c r="H129" s="23"/>
      <c r="I129" s="24"/>
      <c r="J129" s="24"/>
      <c r="K129" s="21"/>
      <c r="L129" s="21"/>
      <c r="M129" s="25"/>
      <c r="N129" s="10"/>
      <c r="R129" s="2"/>
    </row>
    <row r="130" spans="1:18" ht="15.75" x14ac:dyDescent="0.25">
      <c r="A130" s="19" t="s">
        <v>17</v>
      </c>
      <c r="B130" s="20">
        <f>DATE(2021,7,1)</f>
        <v>44378</v>
      </c>
      <c r="C130" s="21">
        <v>395405</v>
      </c>
      <c r="D130" s="21">
        <v>316439</v>
      </c>
      <c r="E130" s="23">
        <f t="shared" ref="E130:E137" si="55">(+C130-D130)/D130</f>
        <v>0.24954572603250547</v>
      </c>
      <c r="F130" s="21">
        <f>+C130-202613</f>
        <v>192792</v>
      </c>
      <c r="G130" s="21">
        <f>+D130-163690</f>
        <v>152749</v>
      </c>
      <c r="H130" s="23">
        <f t="shared" ref="H130:H137" si="56">(+F130-G130)/G130</f>
        <v>0.26214901570550381</v>
      </c>
      <c r="I130" s="24">
        <f t="shared" ref="I130:I137" si="57">K130/C130</f>
        <v>66.968329004438488</v>
      </c>
      <c r="J130" s="24">
        <f t="shared" ref="J130:J137" si="58">K130/F130</f>
        <v>137.34808565708121</v>
      </c>
      <c r="K130" s="21">
        <v>26479612.129999999</v>
      </c>
      <c r="L130" s="21">
        <v>22725911.809999999</v>
      </c>
      <c r="M130" s="25">
        <f t="shared" ref="M130:M137" si="59">(+K130-L130)/L130</f>
        <v>0.1651727046810185</v>
      </c>
      <c r="N130" s="10"/>
      <c r="R130" s="2"/>
    </row>
    <row r="131" spans="1:18" ht="15.75" x14ac:dyDescent="0.25">
      <c r="A131" s="19"/>
      <c r="B131" s="20">
        <f>DATE(2021,8,1)</f>
        <v>44409</v>
      </c>
      <c r="C131" s="21">
        <v>360122</v>
      </c>
      <c r="D131" s="21">
        <v>305395</v>
      </c>
      <c r="E131" s="23">
        <f t="shared" si="55"/>
        <v>0.17920070728073478</v>
      </c>
      <c r="F131" s="21">
        <f>+C131-186327</f>
        <v>173795</v>
      </c>
      <c r="G131" s="21">
        <f>+D131-155433</f>
        <v>149962</v>
      </c>
      <c r="H131" s="23">
        <f t="shared" si="56"/>
        <v>0.15892692815513262</v>
      </c>
      <c r="I131" s="24">
        <f t="shared" si="57"/>
        <v>67.820609015833526</v>
      </c>
      <c r="J131" s="24">
        <f t="shared" si="58"/>
        <v>140.53162265887971</v>
      </c>
      <c r="K131" s="21">
        <v>24423693.359999999</v>
      </c>
      <c r="L131" s="21">
        <v>20775703.289999999</v>
      </c>
      <c r="M131" s="25">
        <f t="shared" si="59"/>
        <v>0.17558924572030699</v>
      </c>
      <c r="N131" s="10"/>
      <c r="R131" s="2"/>
    </row>
    <row r="132" spans="1:18" ht="15.75" x14ac:dyDescent="0.25">
      <c r="A132" s="19"/>
      <c r="B132" s="20">
        <f>DATE(2021,9,1)</f>
        <v>44440</v>
      </c>
      <c r="C132" s="21">
        <v>353289</v>
      </c>
      <c r="D132" s="21">
        <v>318244</v>
      </c>
      <c r="E132" s="23">
        <f t="shared" si="55"/>
        <v>0.11011990799512324</v>
      </c>
      <c r="F132" s="21">
        <f>+C132-183914</f>
        <v>169375</v>
      </c>
      <c r="G132" s="21">
        <f>+D132-166636</f>
        <v>151608</v>
      </c>
      <c r="H132" s="23">
        <f t="shared" si="56"/>
        <v>0.11719038573162366</v>
      </c>
      <c r="I132" s="24">
        <f t="shared" si="57"/>
        <v>67.247895802020437</v>
      </c>
      <c r="J132" s="24">
        <f t="shared" si="58"/>
        <v>140.26829142435423</v>
      </c>
      <c r="K132" s="21">
        <v>23757941.859999999</v>
      </c>
      <c r="L132" s="21">
        <v>20397277.649999999</v>
      </c>
      <c r="M132" s="25">
        <f t="shared" si="59"/>
        <v>0.16476042870358246</v>
      </c>
      <c r="N132" s="10"/>
      <c r="R132" s="2"/>
    </row>
    <row r="133" spans="1:18" ht="15.75" x14ac:dyDescent="0.25">
      <c r="A133" s="19"/>
      <c r="B133" s="20">
        <f>DATE(2021,10,1)</f>
        <v>44470</v>
      </c>
      <c r="C133" s="21">
        <v>364454</v>
      </c>
      <c r="D133" s="21">
        <v>334295</v>
      </c>
      <c r="E133" s="23">
        <f t="shared" si="55"/>
        <v>9.0216724749098851E-2</v>
      </c>
      <c r="F133" s="21">
        <f>+C133-184794</f>
        <v>179660</v>
      </c>
      <c r="G133" s="21">
        <f>+D133-175103</f>
        <v>159192</v>
      </c>
      <c r="H133" s="23">
        <f t="shared" si="56"/>
        <v>0.12857430021609126</v>
      </c>
      <c r="I133" s="24">
        <f t="shared" si="57"/>
        <v>73.070886010305827</v>
      </c>
      <c r="J133" s="24">
        <f t="shared" si="58"/>
        <v>148.22986023600134</v>
      </c>
      <c r="K133" s="21">
        <v>26630976.690000001</v>
      </c>
      <c r="L133" s="21">
        <v>21914196.890000001</v>
      </c>
      <c r="M133" s="25">
        <f t="shared" si="59"/>
        <v>0.21523854256107308</v>
      </c>
      <c r="N133" s="10"/>
      <c r="R133" s="2"/>
    </row>
    <row r="134" spans="1:18" ht="15.75" x14ac:dyDescent="0.25">
      <c r="A134" s="19"/>
      <c r="B134" s="20">
        <f>DATE(2021,11,1)</f>
        <v>44501</v>
      </c>
      <c r="C134" s="21">
        <v>343235</v>
      </c>
      <c r="D134" s="21">
        <v>292924</v>
      </c>
      <c r="E134" s="23">
        <f t="shared" si="55"/>
        <v>0.17175444825278913</v>
      </c>
      <c r="F134" s="21">
        <f>+C134-177609</f>
        <v>165626</v>
      </c>
      <c r="G134" s="21">
        <f>+D134-150746</f>
        <v>142178</v>
      </c>
      <c r="H134" s="23">
        <f t="shared" si="56"/>
        <v>0.1649200298217727</v>
      </c>
      <c r="I134" s="24">
        <f t="shared" si="57"/>
        <v>69.571718618439263</v>
      </c>
      <c r="J134" s="24">
        <f t="shared" si="58"/>
        <v>144.17693381473924</v>
      </c>
      <c r="K134" s="21">
        <v>23879448.84</v>
      </c>
      <c r="L134" s="21">
        <v>19060349.809999999</v>
      </c>
      <c r="M134" s="25">
        <f t="shared" si="59"/>
        <v>0.25283371386351283</v>
      </c>
      <c r="N134" s="10"/>
      <c r="R134" s="2"/>
    </row>
    <row r="135" spans="1:18" ht="15.75" x14ac:dyDescent="0.25">
      <c r="A135" s="19"/>
      <c r="B135" s="20">
        <f>DATE(2021,12,1)</f>
        <v>44531</v>
      </c>
      <c r="C135" s="21">
        <v>379724</v>
      </c>
      <c r="D135" s="21">
        <v>344056</v>
      </c>
      <c r="E135" s="23">
        <f t="shared" si="55"/>
        <v>0.10366917013509429</v>
      </c>
      <c r="F135" s="21">
        <f>+C135-197551</f>
        <v>182173</v>
      </c>
      <c r="G135" s="21">
        <f>+D135-176597</f>
        <v>167459</v>
      </c>
      <c r="H135" s="23">
        <f t="shared" si="56"/>
        <v>8.7866283687350333E-2</v>
      </c>
      <c r="I135" s="24">
        <f t="shared" si="57"/>
        <v>71.763074496213036</v>
      </c>
      <c r="J135" s="24">
        <f t="shared" si="58"/>
        <v>149.58397622040587</v>
      </c>
      <c r="K135" s="21">
        <v>27250161.699999999</v>
      </c>
      <c r="L135" s="21">
        <v>23881076.289999999</v>
      </c>
      <c r="M135" s="25">
        <f t="shared" si="59"/>
        <v>0.14107762016617217</v>
      </c>
      <c r="N135" s="10"/>
      <c r="R135" s="2"/>
    </row>
    <row r="136" spans="1:18" ht="15.75" x14ac:dyDescent="0.25">
      <c r="A136" s="19"/>
      <c r="B136" s="20">
        <f>DATE(2022,1,1)</f>
        <v>44562</v>
      </c>
      <c r="C136" s="21">
        <v>335416</v>
      </c>
      <c r="D136" s="21">
        <v>393510</v>
      </c>
      <c r="E136" s="23">
        <f t="shared" si="55"/>
        <v>-0.14763030164417676</v>
      </c>
      <c r="F136" s="21">
        <f>+C136-174643</f>
        <v>160773</v>
      </c>
      <c r="G136" s="21">
        <f>+D136-207236</f>
        <v>186274</v>
      </c>
      <c r="H136" s="23">
        <f t="shared" si="56"/>
        <v>-0.13690047993815563</v>
      </c>
      <c r="I136" s="24">
        <f t="shared" si="57"/>
        <v>72.549110179597875</v>
      </c>
      <c r="J136" s="24">
        <f t="shared" si="58"/>
        <v>151.35708321670927</v>
      </c>
      <c r="K136" s="21">
        <v>24334132.34</v>
      </c>
      <c r="L136" s="21">
        <v>25974745.73</v>
      </c>
      <c r="M136" s="25">
        <f t="shared" si="59"/>
        <v>-6.3161865261500694E-2</v>
      </c>
      <c r="N136" s="10"/>
      <c r="R136" s="2"/>
    </row>
    <row r="137" spans="1:18" ht="15.75" x14ac:dyDescent="0.25">
      <c r="A137" s="19"/>
      <c r="B137" s="20">
        <f>DATE(2022,2,1)</f>
        <v>44593</v>
      </c>
      <c r="C137" s="21">
        <v>330616</v>
      </c>
      <c r="D137" s="21">
        <v>319714</v>
      </c>
      <c r="E137" s="23">
        <f t="shared" si="55"/>
        <v>3.4099226183401415E-2</v>
      </c>
      <c r="F137" s="21">
        <f>+C137-173794</f>
        <v>156822</v>
      </c>
      <c r="G137" s="21">
        <f>+D137-169622</f>
        <v>150092</v>
      </c>
      <c r="H137" s="23">
        <f t="shared" si="56"/>
        <v>4.4839165311942007E-2</v>
      </c>
      <c r="I137" s="24">
        <f t="shared" si="57"/>
        <v>70.196413785176759</v>
      </c>
      <c r="J137" s="24">
        <f t="shared" si="58"/>
        <v>147.98980716991238</v>
      </c>
      <c r="K137" s="21">
        <v>23208057.539999999</v>
      </c>
      <c r="L137" s="21">
        <v>22035625.109999999</v>
      </c>
      <c r="M137" s="25">
        <f t="shared" si="59"/>
        <v>5.3206225108083614E-2</v>
      </c>
      <c r="N137" s="10"/>
      <c r="R137" s="2"/>
    </row>
    <row r="138" spans="1:18" ht="15.75" thickBot="1" x14ac:dyDescent="0.25">
      <c r="A138" s="38"/>
      <c r="B138" s="45"/>
      <c r="C138" s="21"/>
      <c r="D138" s="21"/>
      <c r="E138" s="23"/>
      <c r="F138" s="21"/>
      <c r="G138" s="21"/>
      <c r="H138" s="23"/>
      <c r="I138" s="24"/>
      <c r="J138" s="24"/>
      <c r="K138" s="21"/>
      <c r="L138" s="21"/>
      <c r="M138" s="25"/>
      <c r="N138" s="10"/>
      <c r="R138" s="2"/>
    </row>
    <row r="139" spans="1:18" ht="17.25" thickTop="1" thickBot="1" x14ac:dyDescent="0.3">
      <c r="A139" s="39" t="s">
        <v>14</v>
      </c>
      <c r="B139" s="40"/>
      <c r="C139" s="41">
        <f>SUM(C130:C138)</f>
        <v>2862261</v>
      </c>
      <c r="D139" s="41">
        <f>SUM(D130:D138)</f>
        <v>2624577</v>
      </c>
      <c r="E139" s="280">
        <f>(+C139-D139)/D139</f>
        <v>9.0560878953065582E-2</v>
      </c>
      <c r="F139" s="41">
        <f>SUM(F130:F138)</f>
        <v>1381016</v>
      </c>
      <c r="G139" s="41">
        <f>SUM(G130:G138)</f>
        <v>1259514</v>
      </c>
      <c r="H139" s="42">
        <f>(+F139-G139)/G139</f>
        <v>9.6467367571936483E-2</v>
      </c>
      <c r="I139" s="43">
        <f>K139/C139</f>
        <v>69.862260800115706</v>
      </c>
      <c r="J139" s="43">
        <f>K139/F139</f>
        <v>144.79486440417779</v>
      </c>
      <c r="K139" s="41">
        <f>SUM(K130:K138)</f>
        <v>199964024.45999998</v>
      </c>
      <c r="L139" s="41">
        <f>SUM(L130:L138)</f>
        <v>176764886.57999998</v>
      </c>
      <c r="M139" s="44">
        <f>(+K139-L139)/L139</f>
        <v>0.13124290875213254</v>
      </c>
      <c r="N139" s="10"/>
      <c r="R139" s="2"/>
    </row>
    <row r="140" spans="1:18" ht="15.75" customHeight="1" thickTop="1" x14ac:dyDescent="0.25">
      <c r="A140" s="19"/>
      <c r="B140" s="45"/>
      <c r="C140" s="21"/>
      <c r="D140" s="21"/>
      <c r="E140" s="23"/>
      <c r="F140" s="21"/>
      <c r="G140" s="21"/>
      <c r="H140" s="23"/>
      <c r="I140" s="24"/>
      <c r="J140" s="24"/>
      <c r="K140" s="21"/>
      <c r="L140" s="21"/>
      <c r="M140" s="25"/>
      <c r="N140" s="10"/>
      <c r="R140" s="2"/>
    </row>
    <row r="141" spans="1:18" ht="15.75" x14ac:dyDescent="0.25">
      <c r="A141" s="19" t="s">
        <v>57</v>
      </c>
      <c r="B141" s="20">
        <f>DATE(2021,7,1)</f>
        <v>44378</v>
      </c>
      <c r="C141" s="21">
        <v>70527</v>
      </c>
      <c r="D141" s="21">
        <v>61338</v>
      </c>
      <c r="E141" s="23">
        <f t="shared" ref="E141:E148" si="60">(+C141-D141)/D141</f>
        <v>0.14980925364374451</v>
      </c>
      <c r="F141" s="21">
        <f>+C141-30135</f>
        <v>40392</v>
      </c>
      <c r="G141" s="21">
        <f>+D141-27914</f>
        <v>33424</v>
      </c>
      <c r="H141" s="23">
        <f t="shared" ref="H141:H148" si="61">(+F141-G141)/G141</f>
        <v>0.20847295356629966</v>
      </c>
      <c r="I141" s="24">
        <f t="shared" ref="I141:I148" si="62">K141/C141</f>
        <v>58.011039318275266</v>
      </c>
      <c r="J141" s="24">
        <f t="shared" ref="J141:J148" si="63">K141/F141</f>
        <v>101.29096281441869</v>
      </c>
      <c r="K141" s="21">
        <v>4091344.57</v>
      </c>
      <c r="L141" s="21">
        <v>3513092.29</v>
      </c>
      <c r="M141" s="25">
        <f t="shared" ref="M141:M148" si="64">(+K141-L141)/L141</f>
        <v>0.16459922833396437</v>
      </c>
      <c r="N141" s="10"/>
      <c r="R141" s="2"/>
    </row>
    <row r="142" spans="1:18" ht="15.75" x14ac:dyDescent="0.25">
      <c r="A142" s="19"/>
      <c r="B142" s="20">
        <f>DATE(2021,8,1)</f>
        <v>44409</v>
      </c>
      <c r="C142" s="21">
        <v>69916</v>
      </c>
      <c r="D142" s="21">
        <v>61855</v>
      </c>
      <c r="E142" s="23">
        <f t="shared" si="60"/>
        <v>0.13032091180987795</v>
      </c>
      <c r="F142" s="21">
        <f>+C142-30124</f>
        <v>39792</v>
      </c>
      <c r="G142" s="21">
        <f>+D142-27562</f>
        <v>34293</v>
      </c>
      <c r="H142" s="23">
        <f t="shared" si="61"/>
        <v>0.16035342489720936</v>
      </c>
      <c r="I142" s="24">
        <f t="shared" si="62"/>
        <v>56.214888723611196</v>
      </c>
      <c r="J142" s="24">
        <f t="shared" si="63"/>
        <v>98.771616405307597</v>
      </c>
      <c r="K142" s="21">
        <v>3930320.16</v>
      </c>
      <c r="L142" s="21">
        <v>3548299.04</v>
      </c>
      <c r="M142" s="25">
        <f t="shared" si="64"/>
        <v>0.10766316922375294</v>
      </c>
      <c r="N142" s="10"/>
      <c r="R142" s="2"/>
    </row>
    <row r="143" spans="1:18" ht="15.75" x14ac:dyDescent="0.25">
      <c r="A143" s="19"/>
      <c r="B143" s="20">
        <f>DATE(2021,9,1)</f>
        <v>44440</v>
      </c>
      <c r="C143" s="21">
        <v>66900</v>
      </c>
      <c r="D143" s="21">
        <v>58255</v>
      </c>
      <c r="E143" s="23">
        <f t="shared" si="60"/>
        <v>0.14839927903184277</v>
      </c>
      <c r="F143" s="21">
        <f>+C143-28690</f>
        <v>38210</v>
      </c>
      <c r="G143" s="21">
        <f>+D143-26013</f>
        <v>32242</v>
      </c>
      <c r="H143" s="23">
        <f t="shared" si="61"/>
        <v>0.18510017988958502</v>
      </c>
      <c r="I143" s="24">
        <f t="shared" si="62"/>
        <v>54.345169955156955</v>
      </c>
      <c r="J143" s="24">
        <f t="shared" si="63"/>
        <v>95.150271394922797</v>
      </c>
      <c r="K143" s="21">
        <v>3635691.87</v>
      </c>
      <c r="L143" s="21">
        <v>3207756.78</v>
      </c>
      <c r="M143" s="25">
        <f t="shared" si="64"/>
        <v>0.13340633949186145</v>
      </c>
      <c r="N143" s="10"/>
      <c r="R143" s="2"/>
    </row>
    <row r="144" spans="1:18" ht="15.75" x14ac:dyDescent="0.25">
      <c r="A144" s="19"/>
      <c r="B144" s="20">
        <f>DATE(2021,10,1)</f>
        <v>44470</v>
      </c>
      <c r="C144" s="21">
        <v>71041</v>
      </c>
      <c r="D144" s="21">
        <v>55328</v>
      </c>
      <c r="E144" s="23">
        <f t="shared" si="60"/>
        <v>0.28399725274725274</v>
      </c>
      <c r="F144" s="21">
        <f>+C144-30775</f>
        <v>40266</v>
      </c>
      <c r="G144" s="21">
        <f>+D144-22799</f>
        <v>32529</v>
      </c>
      <c r="H144" s="23">
        <f t="shared" si="61"/>
        <v>0.23784930369823851</v>
      </c>
      <c r="I144" s="24">
        <f t="shared" si="62"/>
        <v>58.034915893638882</v>
      </c>
      <c r="J144" s="24">
        <f t="shared" si="63"/>
        <v>102.39056424775245</v>
      </c>
      <c r="K144" s="21">
        <v>4122858.46</v>
      </c>
      <c r="L144" s="21">
        <v>2898446.12</v>
      </c>
      <c r="M144" s="25">
        <f t="shared" si="64"/>
        <v>0.42243750247805184</v>
      </c>
      <c r="N144" s="10"/>
      <c r="R144" s="2"/>
    </row>
    <row r="145" spans="1:18" ht="15.75" x14ac:dyDescent="0.25">
      <c r="A145" s="19"/>
      <c r="B145" s="20">
        <f>DATE(2021,11,1)</f>
        <v>44501</v>
      </c>
      <c r="C145" s="21">
        <v>63538</v>
      </c>
      <c r="D145" s="21">
        <v>49882</v>
      </c>
      <c r="E145" s="23">
        <f t="shared" si="60"/>
        <v>0.27376608796760354</v>
      </c>
      <c r="F145" s="21">
        <f>+C145-27532</f>
        <v>36006</v>
      </c>
      <c r="G145" s="21">
        <f>+D145-20773</f>
        <v>29109</v>
      </c>
      <c r="H145" s="23">
        <f t="shared" si="61"/>
        <v>0.23693702978460271</v>
      </c>
      <c r="I145" s="24">
        <f t="shared" si="62"/>
        <v>58.944575057445938</v>
      </c>
      <c r="J145" s="24">
        <f t="shared" si="63"/>
        <v>104.01656418374716</v>
      </c>
      <c r="K145" s="21">
        <v>3745220.41</v>
      </c>
      <c r="L145" s="21">
        <v>2559239.66</v>
      </c>
      <c r="M145" s="25">
        <f t="shared" si="64"/>
        <v>0.46341136726522908</v>
      </c>
      <c r="N145" s="10"/>
      <c r="R145" s="2"/>
    </row>
    <row r="146" spans="1:18" ht="15.75" x14ac:dyDescent="0.25">
      <c r="A146" s="19"/>
      <c r="B146" s="20">
        <f>DATE(2021,12,1)</f>
        <v>44531</v>
      </c>
      <c r="C146" s="21">
        <v>69761</v>
      </c>
      <c r="D146" s="21">
        <v>53490</v>
      </c>
      <c r="E146" s="23">
        <f t="shared" si="60"/>
        <v>0.30418769863525891</v>
      </c>
      <c r="F146" s="21">
        <f>+C146-31055</f>
        <v>38706</v>
      </c>
      <c r="G146" s="21">
        <f>+D146-22512</f>
        <v>30978</v>
      </c>
      <c r="H146" s="23">
        <f t="shared" si="61"/>
        <v>0.2494673639356963</v>
      </c>
      <c r="I146" s="24">
        <f t="shared" si="62"/>
        <v>59.03780880434627</v>
      </c>
      <c r="J146" s="24">
        <f t="shared" si="63"/>
        <v>106.40563685216762</v>
      </c>
      <c r="K146" s="21">
        <v>4118536.58</v>
      </c>
      <c r="L146" s="21">
        <v>2814228.51</v>
      </c>
      <c r="M146" s="25">
        <f t="shared" si="64"/>
        <v>0.46346914096183339</v>
      </c>
      <c r="N146" s="10"/>
      <c r="R146" s="2"/>
    </row>
    <row r="147" spans="1:18" ht="15.75" x14ac:dyDescent="0.25">
      <c r="A147" s="19"/>
      <c r="B147" s="20">
        <f>DATE(2022,1,1)</f>
        <v>44562</v>
      </c>
      <c r="C147" s="21">
        <v>58380</v>
      </c>
      <c r="D147" s="21">
        <v>60656</v>
      </c>
      <c r="E147" s="23">
        <f t="shared" si="60"/>
        <v>-3.7523080981271432E-2</v>
      </c>
      <c r="F147" s="21">
        <f>+C147-26040</f>
        <v>32340</v>
      </c>
      <c r="G147" s="21">
        <f>+D147-26102</f>
        <v>34554</v>
      </c>
      <c r="H147" s="23">
        <f t="shared" si="61"/>
        <v>-6.4073623893036988E-2</v>
      </c>
      <c r="I147" s="24">
        <f t="shared" si="62"/>
        <v>60.666218396711201</v>
      </c>
      <c r="J147" s="24">
        <f t="shared" si="63"/>
        <v>109.51434230055659</v>
      </c>
      <c r="K147" s="21">
        <v>3541693.83</v>
      </c>
      <c r="L147" s="21">
        <v>3145575.75</v>
      </c>
      <c r="M147" s="25">
        <f t="shared" si="64"/>
        <v>0.12592864120344266</v>
      </c>
      <c r="N147" s="10"/>
      <c r="R147" s="2"/>
    </row>
    <row r="148" spans="1:18" ht="15.75" x14ac:dyDescent="0.25">
      <c r="A148" s="19"/>
      <c r="B148" s="20">
        <f>DATE(2022,2,1)</f>
        <v>44593</v>
      </c>
      <c r="C148" s="21">
        <v>66748</v>
      </c>
      <c r="D148" s="21">
        <v>50775</v>
      </c>
      <c r="E148" s="23">
        <f t="shared" si="60"/>
        <v>0.31458394879369767</v>
      </c>
      <c r="F148" s="21">
        <f>+C148-30082</f>
        <v>36666</v>
      </c>
      <c r="G148" s="21">
        <f>+D148-21966</f>
        <v>28809</v>
      </c>
      <c r="H148" s="23">
        <f t="shared" si="61"/>
        <v>0.27272727272727271</v>
      </c>
      <c r="I148" s="24">
        <f t="shared" si="62"/>
        <v>60.519741715107571</v>
      </c>
      <c r="J148" s="24">
        <f t="shared" si="63"/>
        <v>110.17214094801724</v>
      </c>
      <c r="K148" s="21">
        <v>4039571.72</v>
      </c>
      <c r="L148" s="21">
        <v>2813909.67</v>
      </c>
      <c r="M148" s="25">
        <f t="shared" si="64"/>
        <v>0.43557263513721828</v>
      </c>
      <c r="N148" s="10"/>
      <c r="R148" s="2"/>
    </row>
    <row r="149" spans="1:18" ht="15.75" thickBot="1" x14ac:dyDescent="0.25">
      <c r="A149" s="38"/>
      <c r="B149" s="45"/>
      <c r="C149" s="21"/>
      <c r="D149" s="21"/>
      <c r="E149" s="23"/>
      <c r="F149" s="21"/>
      <c r="G149" s="21"/>
      <c r="H149" s="23"/>
      <c r="I149" s="24"/>
      <c r="J149" s="24"/>
      <c r="K149" s="21"/>
      <c r="L149" s="21"/>
      <c r="M149" s="25"/>
      <c r="N149" s="10"/>
      <c r="R149" s="2"/>
    </row>
    <row r="150" spans="1:18" ht="17.25" thickTop="1" thickBot="1" x14ac:dyDescent="0.3">
      <c r="A150" s="26" t="s">
        <v>14</v>
      </c>
      <c r="B150" s="27"/>
      <c r="C150" s="28">
        <f>SUM(C141:C149)</f>
        <v>536811</v>
      </c>
      <c r="D150" s="28">
        <f>SUM(D141:D149)</f>
        <v>451579</v>
      </c>
      <c r="E150" s="280">
        <f>(+C150-D150)/D150</f>
        <v>0.18874216914426933</v>
      </c>
      <c r="F150" s="28">
        <f>SUM(F141:F149)</f>
        <v>302378</v>
      </c>
      <c r="G150" s="28">
        <f>SUM(G141:G149)</f>
        <v>255938</v>
      </c>
      <c r="H150" s="42">
        <f>(+F150-G150)/G150</f>
        <v>0.18145019496909406</v>
      </c>
      <c r="I150" s="43">
        <f>K150/C150</f>
        <v>58.168028598519783</v>
      </c>
      <c r="J150" s="43">
        <f>K150/F150</f>
        <v>103.26557355363155</v>
      </c>
      <c r="K150" s="28">
        <f>SUM(K141:K149)</f>
        <v>31225237.600000001</v>
      </c>
      <c r="L150" s="28">
        <f>SUM(L141:L149)</f>
        <v>24500547.82</v>
      </c>
      <c r="M150" s="44">
        <f>(+K150-L150)/L150</f>
        <v>0.27447099670606473</v>
      </c>
      <c r="N150" s="10"/>
      <c r="R150" s="2"/>
    </row>
    <row r="151" spans="1:18" ht="16.5" thickTop="1" thickBot="1" x14ac:dyDescent="0.25">
      <c r="A151" s="63"/>
      <c r="B151" s="34"/>
      <c r="C151" s="35"/>
      <c r="D151" s="35"/>
      <c r="E151" s="29"/>
      <c r="F151" s="35"/>
      <c r="G151" s="35"/>
      <c r="H151" s="29"/>
      <c r="I151" s="36"/>
      <c r="J151" s="36"/>
      <c r="K151" s="35"/>
      <c r="L151" s="35"/>
      <c r="M151" s="37"/>
      <c r="N151" s="10"/>
      <c r="R151" s="2"/>
    </row>
    <row r="152" spans="1:18" ht="17.25" thickTop="1" thickBot="1" x14ac:dyDescent="0.3">
      <c r="A152" s="64" t="s">
        <v>18</v>
      </c>
      <c r="B152" s="65"/>
      <c r="C152" s="28">
        <f>C150+C139+C62+C84+C95+C40+C18+C106+C117+C51+C128+C29+C73</f>
        <v>19758296</v>
      </c>
      <c r="D152" s="28">
        <f>D150+D139+D62+D84+D95+D40+D18+D106+D117+D51+D128+D29+D73</f>
        <v>17013158</v>
      </c>
      <c r="E152" s="279">
        <f>(+C152-D152)/D152</f>
        <v>0.16135381802719989</v>
      </c>
      <c r="F152" s="28">
        <f>F150+F139+F62+F84+F95+F40+F18+F106+F117+F51+F128+F29+F73</f>
        <v>9981221</v>
      </c>
      <c r="G152" s="28">
        <f>G150+G139+G62+G84+G95+G40+G18+G106+G117+G51+G128+G29+G73</f>
        <v>8649170</v>
      </c>
      <c r="H152" s="30">
        <f>(+F152-G152)/G152</f>
        <v>0.15400911301315617</v>
      </c>
      <c r="I152" s="31">
        <f>K152/C152</f>
        <v>62.785916640787235</v>
      </c>
      <c r="J152" s="31">
        <f>K152/F152</f>
        <v>124.28767238196609</v>
      </c>
      <c r="K152" s="28">
        <f>K150+K139+K62+K84+K95+K40+K18+K106+K117+K51+K128+K29+K73</f>
        <v>1240542725.6199999</v>
      </c>
      <c r="L152" s="28">
        <f>L150+L139+L62+L84+L95+L40+L18+L106+L117+L51+L128+L29+L73</f>
        <v>1048915899.0300002</v>
      </c>
      <c r="M152" s="32">
        <f>(+K152-L152)/L152</f>
        <v>0.1826903632285575</v>
      </c>
      <c r="N152" s="10"/>
      <c r="R152" s="2"/>
    </row>
    <row r="153" spans="1:18" ht="17.25" thickTop="1" thickBot="1" x14ac:dyDescent="0.3">
      <c r="A153" s="64"/>
      <c r="B153" s="65"/>
      <c r="C153" s="28"/>
      <c r="D153" s="28"/>
      <c r="E153" s="29"/>
      <c r="F153" s="28"/>
      <c r="G153" s="28"/>
      <c r="H153" s="30"/>
      <c r="I153" s="31"/>
      <c r="J153" s="31"/>
      <c r="K153" s="28"/>
      <c r="L153" s="28"/>
      <c r="M153" s="32"/>
      <c r="N153" s="10"/>
      <c r="R153" s="2"/>
    </row>
    <row r="154" spans="1:18" ht="17.25" thickTop="1" thickBot="1" x14ac:dyDescent="0.3">
      <c r="A154" s="64" t="s">
        <v>19</v>
      </c>
      <c r="B154" s="65"/>
      <c r="C154" s="28">
        <f>SUM(C16+C27+C38+C49+C60+C71+C82+C93+C104+C115+C126+C137+C148)</f>
        <v>2272412</v>
      </c>
      <c r="D154" s="28">
        <f>SUM(D16+D27+D38+D49+D60+D71+D82+D93+D104+D115+D126+D137+D148)</f>
        <v>1958138</v>
      </c>
      <c r="E154" s="279">
        <f>(+C154-D154)/D154</f>
        <v>0.16049634908264893</v>
      </c>
      <c r="F154" s="28">
        <f>SUM(F16+F27+F38+F49+F60+F71+F82+F93+F104+F115+F126+F137+F148)</f>
        <v>1126069</v>
      </c>
      <c r="G154" s="28">
        <f>SUM(G16+G27+G38+G49+G60+G71+G82+G93+G104+G115+G126+G137+G148)</f>
        <v>985551</v>
      </c>
      <c r="H154" s="30">
        <f>(+F154-G154)/G154</f>
        <v>0.1425781111276839</v>
      </c>
      <c r="I154" s="31">
        <f>K154/C154</f>
        <v>64.142469741402536</v>
      </c>
      <c r="J154" s="31">
        <f>K154/F154</f>
        <v>129.43977496050422</v>
      </c>
      <c r="K154" s="28">
        <f>SUM(K16+K27+K38+K49+K60+K71+K82+K93+K104+K115+K126+K137+K148)</f>
        <v>145758117.95000002</v>
      </c>
      <c r="L154" s="28">
        <f>SUM(L16+L27+L38+L49+L60+L71+L82+L93+L104+L115+L126+L137+L148)</f>
        <v>122646158.14000002</v>
      </c>
      <c r="M154" s="32">
        <f>(+K154-L154)/L154</f>
        <v>0.18844422165770416</v>
      </c>
      <c r="N154" s="10"/>
      <c r="R154" s="2"/>
    </row>
    <row r="155" spans="1:18" ht="15.75" thickTop="1" x14ac:dyDescent="0.2">
      <c r="A155" s="66"/>
      <c r="B155" s="67"/>
      <c r="C155" s="68"/>
      <c r="D155" s="67"/>
      <c r="E155" s="67"/>
      <c r="F155" s="67"/>
      <c r="G155" s="67"/>
      <c r="H155" s="67"/>
      <c r="I155" s="67"/>
      <c r="J155" s="67"/>
      <c r="K155" s="68"/>
      <c r="L155" s="68"/>
      <c r="M155" s="67"/>
      <c r="R155" s="2"/>
    </row>
    <row r="156" spans="1:18" ht="18.75" x14ac:dyDescent="0.3">
      <c r="A156" s="264" t="s">
        <v>20</v>
      </c>
      <c r="B156" s="70"/>
      <c r="C156" s="71"/>
      <c r="D156" s="71"/>
      <c r="E156" s="71"/>
      <c r="F156" s="71"/>
      <c r="G156" s="71"/>
      <c r="H156" s="71"/>
      <c r="I156" s="71"/>
      <c r="J156" s="71"/>
      <c r="K156" s="198"/>
      <c r="L156" s="198"/>
      <c r="M156" s="71"/>
      <c r="N156" s="2"/>
      <c r="O156" s="2"/>
      <c r="P156" s="2"/>
      <c r="Q156" s="2"/>
      <c r="R156" s="2"/>
    </row>
    <row r="157" spans="1:18" ht="18" x14ac:dyDescent="0.25">
      <c r="A157" s="69"/>
      <c r="B157" s="70"/>
      <c r="C157" s="71"/>
      <c r="D157" s="71"/>
      <c r="E157" s="71"/>
      <c r="F157" s="71"/>
      <c r="G157" s="71"/>
      <c r="H157" s="71"/>
      <c r="I157" s="71"/>
      <c r="J157" s="71"/>
      <c r="K157" s="198"/>
      <c r="L157" s="198"/>
      <c r="M157" s="71"/>
      <c r="N157" s="2"/>
      <c r="O157" s="2"/>
      <c r="P157" s="2"/>
      <c r="Q157" s="2"/>
      <c r="R157" s="2"/>
    </row>
    <row r="158" spans="1:18" ht="15.75" x14ac:dyDescent="0.25">
      <c r="A158" s="72"/>
      <c r="B158" s="73"/>
      <c r="C158" s="74"/>
      <c r="D158" s="74"/>
      <c r="E158" s="74"/>
      <c r="F158" s="74"/>
      <c r="G158" s="74"/>
      <c r="H158" s="74"/>
      <c r="I158" s="74"/>
      <c r="J158" s="74"/>
      <c r="K158" s="192"/>
      <c r="L158" s="192"/>
      <c r="M158" s="75"/>
      <c r="N158" s="2"/>
      <c r="O158" s="2"/>
      <c r="P158" s="2"/>
      <c r="Q158" s="2"/>
      <c r="R158" s="2"/>
    </row>
    <row r="159" spans="1:18" x14ac:dyDescent="0.2">
      <c r="A159" s="2"/>
      <c r="B159" s="73"/>
      <c r="C159" s="74"/>
      <c r="D159" s="74"/>
      <c r="E159" s="74"/>
      <c r="F159" s="74"/>
      <c r="G159" s="74"/>
      <c r="H159" s="74"/>
      <c r="I159" s="74"/>
      <c r="J159" s="74"/>
      <c r="K159" s="192"/>
      <c r="L159" s="192"/>
      <c r="M159" s="75"/>
      <c r="N159" s="2"/>
      <c r="O159" s="2"/>
      <c r="P159" s="2"/>
      <c r="Q159" s="2"/>
      <c r="R159" s="2"/>
    </row>
    <row r="160" spans="1:18" x14ac:dyDescent="0.2">
      <c r="A160" s="2"/>
      <c r="B160" s="73"/>
      <c r="C160" s="74"/>
      <c r="D160" s="74"/>
      <c r="E160" s="74"/>
      <c r="F160" s="74"/>
      <c r="G160" s="74"/>
      <c r="H160" s="74"/>
      <c r="I160" s="74"/>
      <c r="J160" s="74"/>
      <c r="K160" s="192"/>
      <c r="L160" s="192"/>
      <c r="M160" s="75"/>
      <c r="N160" s="2"/>
      <c r="O160" s="2"/>
      <c r="P160" s="2"/>
      <c r="Q160" s="2"/>
      <c r="R160" s="2"/>
    </row>
    <row r="161" spans="1:18" x14ac:dyDescent="0.2">
      <c r="A161" s="2"/>
      <c r="B161" s="73"/>
      <c r="C161" s="74"/>
      <c r="D161" s="74"/>
      <c r="E161" s="74"/>
      <c r="F161" s="74"/>
      <c r="G161" s="74"/>
      <c r="H161" s="74"/>
      <c r="I161" s="74"/>
      <c r="J161" s="74"/>
      <c r="K161" s="192"/>
      <c r="L161" s="192"/>
      <c r="M161" s="75"/>
      <c r="N161" s="2"/>
      <c r="O161" s="2"/>
      <c r="P161" s="2"/>
      <c r="Q161" s="2"/>
      <c r="R161" s="2"/>
    </row>
    <row r="162" spans="1:18" x14ac:dyDescent="0.2">
      <c r="A162" s="2"/>
      <c r="B162" s="73"/>
      <c r="C162" s="74"/>
      <c r="D162" s="74"/>
      <c r="E162" s="74"/>
      <c r="F162" s="74"/>
      <c r="G162" s="74"/>
      <c r="H162" s="74"/>
      <c r="I162" s="74"/>
      <c r="J162" s="74"/>
      <c r="K162" s="192"/>
      <c r="L162" s="192"/>
      <c r="M162" s="75"/>
      <c r="N162" s="2"/>
      <c r="O162" s="2"/>
      <c r="P162" s="2"/>
      <c r="Q162" s="2"/>
      <c r="R162" s="2"/>
    </row>
    <row r="163" spans="1:18" x14ac:dyDescent="0.2">
      <c r="A163" s="2"/>
      <c r="B163" s="73"/>
      <c r="C163" s="74"/>
      <c r="D163" s="74"/>
      <c r="E163" s="74"/>
      <c r="F163" s="74"/>
      <c r="G163" s="74"/>
      <c r="H163" s="74"/>
      <c r="I163" s="74"/>
      <c r="J163" s="74"/>
      <c r="K163" s="192"/>
      <c r="L163" s="192"/>
      <c r="M163" s="75"/>
      <c r="N163" s="2"/>
      <c r="O163" s="2"/>
      <c r="P163" s="2"/>
      <c r="Q163" s="2"/>
      <c r="R163" s="2"/>
    </row>
    <row r="164" spans="1:18" x14ac:dyDescent="0.2">
      <c r="A164" s="2"/>
      <c r="B164" s="73"/>
      <c r="C164" s="74"/>
      <c r="D164" s="74"/>
      <c r="E164" s="74"/>
      <c r="F164" s="74"/>
      <c r="G164" s="74"/>
      <c r="H164" s="74"/>
      <c r="I164" s="74"/>
      <c r="J164" s="74"/>
      <c r="K164" s="192"/>
      <c r="L164" s="192"/>
      <c r="M164" s="75"/>
      <c r="N164" s="2"/>
      <c r="O164" s="2"/>
      <c r="P164" s="2"/>
      <c r="Q164" s="2"/>
      <c r="R164" s="2"/>
    </row>
    <row r="165" spans="1:18" x14ac:dyDescent="0.2">
      <c r="A165" s="2"/>
      <c r="B165" s="73"/>
      <c r="C165" s="74"/>
      <c r="D165" s="74"/>
      <c r="E165" s="74"/>
      <c r="F165" s="74"/>
      <c r="G165" s="74"/>
      <c r="H165" s="74"/>
      <c r="I165" s="74"/>
      <c r="J165" s="74"/>
      <c r="K165" s="192"/>
      <c r="L165" s="192"/>
      <c r="M165" s="75"/>
      <c r="N165" s="2"/>
      <c r="O165" s="2"/>
      <c r="P165" s="2"/>
      <c r="Q165" s="2"/>
      <c r="R165" s="2"/>
    </row>
    <row r="166" spans="1:18" x14ac:dyDescent="0.2">
      <c r="A166" s="2"/>
      <c r="B166" s="73"/>
      <c r="C166" s="74"/>
      <c r="D166" s="74"/>
      <c r="E166" s="74"/>
      <c r="F166" s="74"/>
      <c r="G166" s="74"/>
      <c r="H166" s="74"/>
      <c r="I166" s="74"/>
      <c r="J166" s="74"/>
      <c r="K166" s="192"/>
      <c r="L166" s="192"/>
      <c r="M166" s="75"/>
      <c r="N166" s="2"/>
      <c r="O166" s="2"/>
      <c r="P166" s="2"/>
      <c r="Q166" s="2"/>
      <c r="R166" s="2"/>
    </row>
    <row r="167" spans="1:18" x14ac:dyDescent="0.2">
      <c r="A167" s="2"/>
      <c r="B167" s="73"/>
      <c r="C167" s="74"/>
      <c r="D167" s="74"/>
      <c r="E167" s="74"/>
      <c r="F167" s="74"/>
      <c r="G167" s="74"/>
      <c r="H167" s="74"/>
      <c r="I167" s="74"/>
      <c r="J167" s="74"/>
      <c r="K167" s="192"/>
      <c r="L167" s="192"/>
      <c r="M167" s="74"/>
      <c r="N167" s="2"/>
      <c r="O167" s="2"/>
      <c r="P167" s="2"/>
      <c r="Q167" s="2"/>
      <c r="R167" s="2"/>
    </row>
    <row r="168" spans="1:18" x14ac:dyDescent="0.2">
      <c r="A168" s="2"/>
      <c r="B168" s="73"/>
      <c r="C168" s="74"/>
      <c r="D168" s="74"/>
      <c r="E168" s="74"/>
      <c r="F168" s="74"/>
      <c r="G168" s="74"/>
      <c r="H168" s="74"/>
      <c r="I168" s="74"/>
      <c r="J168" s="74"/>
      <c r="K168" s="192"/>
      <c r="L168" s="192"/>
      <c r="M168" s="74"/>
      <c r="N168" s="2"/>
      <c r="O168" s="2"/>
      <c r="P168" s="2"/>
      <c r="Q168" s="2"/>
      <c r="R168" s="2"/>
    </row>
    <row r="169" spans="1:18" x14ac:dyDescent="0.2">
      <c r="A169" s="2"/>
      <c r="B169" s="70"/>
      <c r="C169" s="74"/>
      <c r="D169" s="74"/>
      <c r="E169" s="74"/>
      <c r="F169" s="74"/>
      <c r="G169" s="74"/>
      <c r="H169" s="74"/>
      <c r="I169" s="74"/>
      <c r="J169" s="74"/>
      <c r="K169" s="192"/>
      <c r="L169" s="192"/>
      <c r="M169" s="74"/>
      <c r="N169" s="2"/>
      <c r="O169" s="2"/>
      <c r="P169" s="2"/>
      <c r="Q169" s="2"/>
      <c r="R169" s="2"/>
    </row>
    <row r="170" spans="1:18" ht="15.75" x14ac:dyDescent="0.25">
      <c r="A170" s="76"/>
      <c r="B170" s="70"/>
      <c r="C170" s="74"/>
      <c r="D170" s="74"/>
      <c r="E170" s="74"/>
      <c r="F170" s="74"/>
      <c r="G170" s="74"/>
      <c r="H170" s="74"/>
      <c r="I170" s="74"/>
      <c r="J170" s="74"/>
      <c r="K170" s="192"/>
      <c r="L170" s="192"/>
      <c r="M170" s="75"/>
      <c r="N170" s="2"/>
      <c r="O170" s="2"/>
      <c r="P170" s="2"/>
      <c r="Q170" s="2"/>
      <c r="R170" s="2"/>
    </row>
    <row r="171" spans="1:18" ht="15.75" x14ac:dyDescent="0.25">
      <c r="A171" s="76"/>
      <c r="B171" s="70"/>
      <c r="C171" s="74"/>
      <c r="D171" s="74"/>
      <c r="E171" s="74"/>
      <c r="F171" s="74"/>
      <c r="G171" s="74"/>
      <c r="H171" s="74"/>
      <c r="I171" s="74"/>
      <c r="J171" s="74"/>
      <c r="K171" s="192"/>
      <c r="L171" s="192"/>
      <c r="M171" s="75"/>
      <c r="N171" s="2"/>
      <c r="O171" s="2"/>
      <c r="P171" s="2"/>
      <c r="Q171" s="2"/>
      <c r="R171" s="2"/>
    </row>
    <row r="172" spans="1:18" ht="15.75" x14ac:dyDescent="0.25">
      <c r="A172" s="76"/>
      <c r="B172" s="70"/>
      <c r="C172" s="74"/>
      <c r="D172" s="74"/>
      <c r="E172" s="74"/>
      <c r="F172" s="74"/>
      <c r="G172" s="74"/>
      <c r="H172" s="74"/>
      <c r="I172" s="74"/>
      <c r="J172" s="74"/>
      <c r="K172" s="192"/>
      <c r="L172" s="192"/>
      <c r="M172" s="75"/>
      <c r="N172" s="2"/>
      <c r="O172" s="2"/>
      <c r="P172" s="2"/>
      <c r="Q172" s="2"/>
      <c r="R172" s="2"/>
    </row>
    <row r="173" spans="1:18" x14ac:dyDescent="0.2">
      <c r="A173" s="2"/>
      <c r="B173" s="70"/>
      <c r="C173" s="74"/>
      <c r="D173" s="74"/>
      <c r="E173" s="74"/>
      <c r="F173" s="74"/>
      <c r="G173" s="74"/>
      <c r="H173" s="74"/>
      <c r="I173" s="74"/>
      <c r="J173" s="74"/>
      <c r="K173" s="192"/>
      <c r="L173" s="192"/>
      <c r="M173" s="75"/>
      <c r="N173" s="2"/>
      <c r="O173" s="2"/>
      <c r="P173" s="2"/>
      <c r="Q173" s="2"/>
      <c r="R173" s="2"/>
    </row>
    <row r="174" spans="1:18" ht="15.75" x14ac:dyDescent="0.25">
      <c r="A174" s="76"/>
      <c r="B174" s="73"/>
      <c r="C174" s="74"/>
      <c r="D174" s="74"/>
      <c r="E174" s="74"/>
      <c r="F174" s="74"/>
      <c r="G174" s="74"/>
      <c r="H174" s="74"/>
      <c r="I174" s="74"/>
      <c r="J174" s="74"/>
      <c r="K174" s="192"/>
      <c r="L174" s="192"/>
      <c r="M174" s="75"/>
      <c r="N174" s="2"/>
      <c r="O174" s="2"/>
      <c r="P174" s="2"/>
      <c r="Q174" s="2"/>
      <c r="R174" s="2"/>
    </row>
    <row r="175" spans="1:18" x14ac:dyDescent="0.2">
      <c r="A175" s="2"/>
      <c r="B175" s="73"/>
      <c r="C175" s="74"/>
      <c r="D175" s="74"/>
      <c r="E175" s="74"/>
      <c r="F175" s="74"/>
      <c r="G175" s="74"/>
      <c r="H175" s="74"/>
      <c r="I175" s="74"/>
      <c r="J175" s="74"/>
      <c r="K175" s="192"/>
      <c r="L175" s="192"/>
      <c r="M175" s="75"/>
      <c r="N175" s="2"/>
      <c r="O175" s="2"/>
      <c r="P175" s="2"/>
      <c r="Q175" s="2"/>
      <c r="R175" s="2"/>
    </row>
    <row r="176" spans="1:18" x14ac:dyDescent="0.2">
      <c r="A176" s="2"/>
      <c r="B176" s="73"/>
      <c r="C176" s="74"/>
      <c r="D176" s="74"/>
      <c r="E176" s="74"/>
      <c r="F176" s="74"/>
      <c r="G176" s="74"/>
      <c r="H176" s="74"/>
      <c r="I176" s="74"/>
      <c r="J176" s="74"/>
      <c r="K176" s="192"/>
      <c r="L176" s="192"/>
      <c r="M176" s="75"/>
      <c r="N176" s="2"/>
      <c r="O176" s="2"/>
      <c r="P176" s="2"/>
      <c r="Q176" s="2"/>
      <c r="R176" s="2"/>
    </row>
    <row r="177" spans="1:18" x14ac:dyDescent="0.2">
      <c r="A177" s="2"/>
      <c r="B177" s="77"/>
      <c r="C177" s="74"/>
      <c r="D177" s="74"/>
      <c r="E177" s="74"/>
      <c r="F177" s="74"/>
      <c r="G177" s="74"/>
      <c r="H177" s="74"/>
      <c r="I177" s="74"/>
      <c r="J177" s="74"/>
      <c r="K177" s="192"/>
      <c r="L177" s="192"/>
      <c r="M177" s="75"/>
      <c r="N177" s="2"/>
      <c r="O177" s="2"/>
      <c r="P177" s="2"/>
      <c r="Q177" s="2"/>
      <c r="R177" s="2"/>
    </row>
    <row r="178" spans="1:18" x14ac:dyDescent="0.2">
      <c r="A178" s="2"/>
      <c r="B178" s="77"/>
      <c r="C178" s="74"/>
      <c r="D178" s="74"/>
      <c r="E178" s="74"/>
      <c r="F178" s="74"/>
      <c r="G178" s="74"/>
      <c r="H178" s="74"/>
      <c r="I178" s="74"/>
      <c r="J178" s="74"/>
      <c r="K178" s="192"/>
      <c r="L178" s="192"/>
      <c r="M178" s="75"/>
      <c r="N178" s="2"/>
      <c r="O178" s="2"/>
      <c r="P178" s="2"/>
      <c r="Q178" s="2"/>
      <c r="R178" s="2"/>
    </row>
    <row r="179" spans="1:18" x14ac:dyDescent="0.2">
      <c r="A179" s="2"/>
      <c r="B179" s="77"/>
      <c r="C179" s="74"/>
      <c r="D179" s="74"/>
      <c r="E179" s="74"/>
      <c r="F179" s="74"/>
      <c r="G179" s="74"/>
      <c r="H179" s="74"/>
      <c r="I179" s="74"/>
      <c r="J179" s="74"/>
      <c r="K179" s="192"/>
      <c r="L179" s="192"/>
      <c r="M179" s="75"/>
      <c r="N179" s="2"/>
      <c r="O179" s="2"/>
      <c r="P179" s="2"/>
      <c r="Q179" s="2"/>
      <c r="R179" s="2"/>
    </row>
    <row r="180" spans="1:18" x14ac:dyDescent="0.2">
      <c r="A180" s="2"/>
      <c r="B180" s="77"/>
      <c r="C180" s="74"/>
      <c r="D180" s="74"/>
      <c r="E180" s="74"/>
      <c r="F180" s="74"/>
      <c r="G180" s="74"/>
      <c r="H180" s="74"/>
      <c r="I180" s="74"/>
      <c r="J180" s="74"/>
      <c r="K180" s="192"/>
      <c r="L180" s="192"/>
      <c r="M180" s="75"/>
      <c r="N180" s="2"/>
      <c r="O180" s="2"/>
      <c r="P180" s="2"/>
      <c r="Q180" s="2"/>
      <c r="R180" s="2"/>
    </row>
    <row r="181" spans="1:18" x14ac:dyDescent="0.2">
      <c r="A181" s="2"/>
      <c r="B181" s="77"/>
      <c r="C181" s="74"/>
      <c r="D181" s="74"/>
      <c r="E181" s="74"/>
      <c r="F181" s="74"/>
      <c r="G181" s="74"/>
      <c r="H181" s="74"/>
      <c r="I181" s="74"/>
      <c r="J181" s="74"/>
      <c r="K181" s="192"/>
      <c r="L181" s="192"/>
      <c r="M181" s="75"/>
      <c r="N181" s="2"/>
      <c r="O181" s="2"/>
      <c r="P181" s="2"/>
      <c r="Q181" s="2"/>
      <c r="R181" s="2"/>
    </row>
    <row r="182" spans="1:18" x14ac:dyDescent="0.2">
      <c r="A182" s="2"/>
      <c r="B182" s="77"/>
      <c r="C182" s="74"/>
      <c r="D182" s="74"/>
      <c r="E182" s="74"/>
      <c r="F182" s="74"/>
      <c r="G182" s="74"/>
      <c r="H182" s="74"/>
      <c r="I182" s="74"/>
      <c r="J182" s="74"/>
      <c r="K182" s="192"/>
      <c r="L182" s="192"/>
      <c r="M182" s="75"/>
      <c r="N182" s="2"/>
      <c r="O182" s="2"/>
      <c r="P182" s="2"/>
      <c r="Q182" s="2"/>
      <c r="R182" s="2"/>
    </row>
    <row r="183" spans="1:18" x14ac:dyDescent="0.2">
      <c r="A183" s="2"/>
      <c r="B183" s="77"/>
      <c r="C183" s="74"/>
      <c r="D183" s="74"/>
      <c r="E183" s="74"/>
      <c r="F183" s="74"/>
      <c r="G183" s="74"/>
      <c r="H183" s="74"/>
      <c r="I183" s="74"/>
      <c r="J183" s="74"/>
      <c r="K183" s="192"/>
      <c r="L183" s="192"/>
      <c r="M183" s="75"/>
      <c r="N183" s="2"/>
      <c r="O183" s="2"/>
      <c r="P183" s="2"/>
      <c r="Q183" s="2"/>
      <c r="R183" s="2"/>
    </row>
    <row r="184" spans="1:18" x14ac:dyDescent="0.2">
      <c r="A184" s="2"/>
      <c r="B184" s="77"/>
      <c r="C184" s="74"/>
      <c r="D184" s="74"/>
      <c r="E184" s="74"/>
      <c r="F184" s="74"/>
      <c r="G184" s="74"/>
      <c r="H184" s="74"/>
      <c r="I184" s="74"/>
      <c r="J184" s="74"/>
      <c r="K184" s="192"/>
      <c r="L184" s="192"/>
      <c r="M184" s="75"/>
      <c r="N184" s="2"/>
      <c r="O184" s="2"/>
      <c r="P184" s="2"/>
      <c r="Q184" s="2"/>
      <c r="R184" s="2"/>
    </row>
    <row r="185" spans="1:18" x14ac:dyDescent="0.2">
      <c r="A185" s="2"/>
      <c r="B185" s="77"/>
      <c r="C185" s="74"/>
      <c r="D185" s="74"/>
      <c r="E185" s="74"/>
      <c r="F185" s="74"/>
      <c r="G185" s="74"/>
      <c r="H185" s="74"/>
      <c r="I185" s="74"/>
      <c r="J185" s="74"/>
      <c r="K185" s="192"/>
      <c r="L185" s="192"/>
      <c r="M185" s="75"/>
      <c r="N185" s="2"/>
      <c r="O185" s="2"/>
      <c r="P185" s="2"/>
      <c r="Q185" s="2"/>
      <c r="R185" s="2"/>
    </row>
    <row r="186" spans="1:18" x14ac:dyDescent="0.2">
      <c r="A186" s="2"/>
      <c r="B186" s="2"/>
      <c r="C186" s="74"/>
      <c r="D186" s="74"/>
      <c r="E186" s="74"/>
      <c r="F186" s="74"/>
      <c r="G186" s="74"/>
      <c r="H186" s="74"/>
      <c r="I186" s="74"/>
      <c r="J186" s="74"/>
      <c r="K186" s="192"/>
      <c r="L186" s="192"/>
      <c r="M186" s="75"/>
      <c r="N186" s="2"/>
      <c r="O186" s="2"/>
      <c r="P186" s="2"/>
      <c r="Q186" s="2"/>
      <c r="R186" s="2"/>
    </row>
    <row r="187" spans="1:18" ht="15.75" x14ac:dyDescent="0.25">
      <c r="A187" s="76"/>
      <c r="B187" s="2"/>
      <c r="C187" s="74"/>
      <c r="D187" s="74"/>
      <c r="E187" s="74"/>
      <c r="F187" s="74"/>
      <c r="G187" s="74"/>
      <c r="H187" s="74"/>
      <c r="I187" s="74"/>
      <c r="J187" s="74"/>
      <c r="K187" s="192"/>
      <c r="L187" s="192"/>
      <c r="M187" s="75"/>
      <c r="N187" s="2"/>
      <c r="O187" s="2"/>
      <c r="P187" s="2"/>
      <c r="Q187" s="2"/>
      <c r="R187" s="2"/>
    </row>
    <row r="188" spans="1:18" x14ac:dyDescent="0.2">
      <c r="A188" s="2"/>
      <c r="B188" s="2"/>
      <c r="C188" s="74"/>
      <c r="D188" s="74"/>
      <c r="E188" s="74"/>
      <c r="F188" s="74"/>
      <c r="G188" s="74"/>
      <c r="H188" s="74"/>
      <c r="I188" s="74"/>
      <c r="J188" s="74"/>
      <c r="K188" s="192"/>
      <c r="L188" s="192"/>
      <c r="M188" s="75"/>
      <c r="N188" s="2"/>
      <c r="O188" s="2"/>
      <c r="P188" s="2"/>
      <c r="Q188" s="2"/>
      <c r="R188" s="2"/>
    </row>
    <row r="189" spans="1:18" x14ac:dyDescent="0.2">
      <c r="A189" s="2"/>
      <c r="B189" s="2"/>
      <c r="C189" s="74"/>
      <c r="D189" s="74"/>
      <c r="E189" s="74"/>
      <c r="F189" s="74"/>
      <c r="G189" s="74"/>
      <c r="H189" s="74"/>
      <c r="I189" s="74"/>
      <c r="J189" s="74"/>
      <c r="K189" s="192"/>
      <c r="L189" s="192"/>
      <c r="M189" s="75"/>
      <c r="N189" s="2"/>
      <c r="O189" s="2"/>
      <c r="P189" s="2"/>
      <c r="Q189" s="2"/>
      <c r="R189" s="2"/>
    </row>
    <row r="190" spans="1:18" ht="15.75" x14ac:dyDescent="0.25">
      <c r="A190" s="76"/>
      <c r="B190" s="2"/>
      <c r="C190" s="74"/>
      <c r="D190" s="74"/>
      <c r="E190" s="74"/>
      <c r="F190" s="74"/>
      <c r="G190" s="74"/>
      <c r="H190" s="74"/>
      <c r="I190" s="74"/>
      <c r="J190" s="74"/>
      <c r="K190" s="192"/>
      <c r="L190" s="192"/>
      <c r="M190" s="75"/>
      <c r="N190" s="2"/>
      <c r="O190" s="2"/>
      <c r="P190" s="2"/>
      <c r="Q190" s="2"/>
      <c r="R190" s="2"/>
    </row>
    <row r="191" spans="1:18" ht="15.75" x14ac:dyDescent="0.25">
      <c r="A191" s="76"/>
      <c r="B191" s="2"/>
      <c r="C191" s="74"/>
      <c r="D191" s="74"/>
      <c r="E191" s="74"/>
      <c r="F191" s="74"/>
      <c r="G191" s="74"/>
      <c r="H191" s="74"/>
      <c r="I191" s="74"/>
      <c r="J191" s="74"/>
      <c r="K191" s="192"/>
      <c r="L191" s="192"/>
      <c r="M191" s="75"/>
      <c r="N191" s="2"/>
      <c r="O191" s="2"/>
      <c r="P191" s="2"/>
      <c r="Q191" s="2"/>
      <c r="R191" s="2"/>
    </row>
    <row r="192" spans="1:18" ht="15.75" x14ac:dyDescent="0.25">
      <c r="A192" s="76"/>
      <c r="B192" s="77"/>
      <c r="C192" s="74"/>
      <c r="D192" s="74"/>
      <c r="E192" s="74"/>
      <c r="F192" s="74"/>
      <c r="G192" s="74"/>
      <c r="H192" s="74"/>
      <c r="I192" s="74"/>
      <c r="J192" s="74"/>
      <c r="K192" s="192"/>
      <c r="L192" s="192"/>
      <c r="M192" s="75"/>
      <c r="N192" s="2"/>
      <c r="O192" s="2"/>
      <c r="P192" s="2"/>
      <c r="Q192" s="2"/>
      <c r="R192" s="2"/>
    </row>
    <row r="193" spans="1:18" x14ac:dyDescent="0.2">
      <c r="A193" s="2"/>
      <c r="B193" s="77"/>
      <c r="C193" s="74"/>
      <c r="D193" s="74"/>
      <c r="E193" s="74"/>
      <c r="F193" s="74"/>
      <c r="G193" s="74"/>
      <c r="H193" s="74"/>
      <c r="I193" s="74"/>
      <c r="J193" s="74"/>
      <c r="K193" s="192"/>
      <c r="L193" s="192"/>
      <c r="M193" s="75"/>
      <c r="N193" s="2"/>
      <c r="O193" s="2"/>
      <c r="P193" s="2"/>
      <c r="Q193" s="2"/>
      <c r="R193" s="2"/>
    </row>
    <row r="194" spans="1:18" x14ac:dyDescent="0.2">
      <c r="A194" s="2"/>
      <c r="B194" s="77"/>
      <c r="C194" s="74"/>
      <c r="D194" s="74"/>
      <c r="E194" s="74"/>
      <c r="F194" s="74"/>
      <c r="G194" s="74"/>
      <c r="H194" s="74"/>
      <c r="I194" s="74"/>
      <c r="J194" s="74"/>
      <c r="K194" s="192"/>
      <c r="L194" s="192"/>
      <c r="M194" s="75"/>
      <c r="N194" s="2"/>
      <c r="O194" s="2"/>
      <c r="P194" s="2"/>
      <c r="Q194" s="2"/>
      <c r="R194" s="2"/>
    </row>
    <row r="195" spans="1:18" x14ac:dyDescent="0.2">
      <c r="A195" s="2"/>
      <c r="B195" s="77"/>
      <c r="C195" s="74"/>
      <c r="D195" s="74"/>
      <c r="E195" s="74"/>
      <c r="F195" s="74"/>
      <c r="G195" s="74"/>
      <c r="H195" s="74"/>
      <c r="I195" s="74"/>
      <c r="J195" s="74"/>
      <c r="K195" s="192"/>
      <c r="L195" s="192"/>
      <c r="M195" s="75"/>
      <c r="N195" s="2"/>
      <c r="O195" s="2"/>
      <c r="P195" s="2"/>
      <c r="Q195" s="2"/>
      <c r="R195" s="2"/>
    </row>
    <row r="196" spans="1:18" x14ac:dyDescent="0.2">
      <c r="A196" s="2"/>
      <c r="B196" s="77"/>
      <c r="C196" s="74"/>
      <c r="D196" s="74"/>
      <c r="E196" s="74"/>
      <c r="F196" s="74"/>
      <c r="G196" s="74"/>
      <c r="H196" s="74"/>
      <c r="I196" s="74"/>
      <c r="J196" s="74"/>
      <c r="K196" s="192"/>
      <c r="L196" s="192"/>
      <c r="M196" s="75"/>
      <c r="N196" s="2"/>
      <c r="O196" s="2"/>
      <c r="P196" s="2"/>
      <c r="Q196" s="2"/>
      <c r="R196" s="2"/>
    </row>
    <row r="197" spans="1:18" x14ac:dyDescent="0.2">
      <c r="A197" s="2"/>
      <c r="B197" s="77"/>
      <c r="C197" s="74"/>
      <c r="D197" s="74"/>
      <c r="E197" s="74"/>
      <c r="F197" s="74"/>
      <c r="G197" s="74"/>
      <c r="H197" s="74"/>
      <c r="I197" s="74"/>
      <c r="J197" s="74"/>
      <c r="K197" s="192"/>
      <c r="L197" s="192"/>
      <c r="M197" s="75"/>
      <c r="N197" s="2"/>
      <c r="O197" s="2"/>
      <c r="P197" s="2"/>
      <c r="Q197" s="2"/>
      <c r="R197" s="2"/>
    </row>
    <row r="198" spans="1:18" x14ac:dyDescent="0.2">
      <c r="A198" s="2"/>
      <c r="B198" s="77"/>
      <c r="C198" s="74"/>
      <c r="D198" s="74"/>
      <c r="E198" s="74"/>
      <c r="F198" s="74"/>
      <c r="G198" s="74"/>
      <c r="H198" s="74"/>
      <c r="I198" s="74"/>
      <c r="J198" s="74"/>
      <c r="K198" s="192"/>
      <c r="L198" s="192"/>
      <c r="M198" s="75"/>
      <c r="N198" s="2"/>
      <c r="O198" s="2"/>
      <c r="P198" s="2"/>
      <c r="Q198" s="2"/>
      <c r="R198" s="2"/>
    </row>
    <row r="199" spans="1:18" x14ac:dyDescent="0.2">
      <c r="A199" s="2"/>
      <c r="B199" s="77"/>
      <c r="C199" s="74"/>
      <c r="D199" s="74"/>
      <c r="E199" s="74"/>
      <c r="F199" s="74"/>
      <c r="G199" s="74"/>
      <c r="H199" s="74"/>
      <c r="I199" s="74"/>
      <c r="J199" s="74"/>
      <c r="K199" s="192"/>
      <c r="L199" s="192"/>
      <c r="M199" s="75"/>
      <c r="N199" s="2"/>
      <c r="O199" s="2"/>
      <c r="P199" s="2"/>
      <c r="Q199" s="2"/>
      <c r="R199" s="2"/>
    </row>
    <row r="200" spans="1:18" x14ac:dyDescent="0.2">
      <c r="A200" s="2"/>
      <c r="B200" s="77"/>
      <c r="C200" s="74"/>
      <c r="D200" s="74"/>
      <c r="E200" s="74"/>
      <c r="F200" s="74"/>
      <c r="G200" s="74"/>
      <c r="H200" s="74"/>
      <c r="I200" s="74"/>
      <c r="J200" s="74"/>
      <c r="K200" s="192"/>
      <c r="L200" s="192"/>
      <c r="M200" s="75"/>
      <c r="N200" s="2"/>
      <c r="O200" s="2"/>
      <c r="P200" s="2"/>
      <c r="Q200" s="2"/>
      <c r="R200" s="2"/>
    </row>
    <row r="201" spans="1:18" x14ac:dyDescent="0.2">
      <c r="A201" s="2"/>
      <c r="B201" s="77"/>
      <c r="C201" s="74"/>
      <c r="D201" s="74"/>
      <c r="E201" s="74"/>
      <c r="F201" s="74"/>
      <c r="G201" s="74"/>
      <c r="H201" s="74"/>
      <c r="I201" s="74"/>
      <c r="J201" s="74"/>
      <c r="K201" s="192"/>
      <c r="L201" s="192"/>
      <c r="M201" s="75"/>
      <c r="N201" s="2"/>
      <c r="O201" s="2"/>
      <c r="P201" s="2"/>
      <c r="Q201" s="2"/>
      <c r="R201" s="2"/>
    </row>
    <row r="202" spans="1:18" x14ac:dyDescent="0.2">
      <c r="A202" s="2"/>
      <c r="B202" s="77"/>
      <c r="C202" s="74"/>
      <c r="D202" s="74"/>
      <c r="E202" s="74"/>
      <c r="F202" s="74"/>
      <c r="G202" s="74"/>
      <c r="H202" s="74"/>
      <c r="I202" s="74"/>
      <c r="J202" s="74"/>
      <c r="K202" s="192"/>
      <c r="L202" s="192"/>
      <c r="M202" s="75"/>
      <c r="N202" s="2"/>
      <c r="O202" s="2"/>
      <c r="P202" s="2"/>
      <c r="Q202" s="2"/>
      <c r="R202" s="2"/>
    </row>
    <row r="203" spans="1:18" x14ac:dyDescent="0.2">
      <c r="A203" s="2"/>
      <c r="B203" s="77"/>
      <c r="C203" s="74"/>
      <c r="D203" s="74"/>
      <c r="E203" s="74"/>
      <c r="F203" s="74"/>
      <c r="G203" s="74"/>
      <c r="H203" s="74"/>
      <c r="I203" s="74"/>
      <c r="J203" s="74"/>
      <c r="K203" s="192"/>
      <c r="L203" s="192"/>
      <c r="M203" s="75"/>
      <c r="N203" s="2"/>
      <c r="O203" s="2"/>
      <c r="P203" s="2"/>
      <c r="Q203" s="2"/>
      <c r="R203" s="2"/>
    </row>
    <row r="204" spans="1:18" x14ac:dyDescent="0.2">
      <c r="A204" s="2"/>
      <c r="B204" s="2"/>
      <c r="C204" s="74"/>
      <c r="D204" s="74"/>
      <c r="E204" s="74"/>
      <c r="F204" s="74"/>
      <c r="G204" s="74"/>
      <c r="H204" s="74"/>
      <c r="I204" s="74"/>
      <c r="J204" s="74"/>
      <c r="K204" s="192"/>
      <c r="L204" s="192"/>
      <c r="M204" s="75"/>
      <c r="N204" s="2"/>
      <c r="O204" s="2"/>
      <c r="P204" s="2"/>
      <c r="Q204" s="2"/>
      <c r="R204" s="2"/>
    </row>
    <row r="205" spans="1:18" ht="15.75" x14ac:dyDescent="0.25">
      <c r="A205" s="76"/>
      <c r="B205" s="2"/>
      <c r="C205" s="74"/>
      <c r="D205" s="74"/>
      <c r="E205" s="74"/>
      <c r="F205" s="74"/>
      <c r="G205" s="74"/>
      <c r="H205" s="74"/>
      <c r="I205" s="74"/>
      <c r="J205" s="74"/>
      <c r="K205" s="192"/>
      <c r="L205" s="192"/>
      <c r="M205" s="75"/>
      <c r="N205" s="2"/>
      <c r="O205" s="2"/>
      <c r="P205" s="2"/>
      <c r="Q205" s="2"/>
      <c r="R205" s="2"/>
    </row>
    <row r="206" spans="1:18" x14ac:dyDescent="0.2">
      <c r="A206" s="2"/>
      <c r="B206" s="2"/>
      <c r="C206" s="74"/>
      <c r="D206" s="74"/>
      <c r="E206" s="74"/>
      <c r="F206" s="74"/>
      <c r="G206" s="74"/>
      <c r="H206" s="74"/>
      <c r="I206" s="74"/>
      <c r="J206" s="74"/>
      <c r="K206" s="192"/>
      <c r="L206" s="192"/>
      <c r="M206" s="75"/>
      <c r="N206" s="2"/>
      <c r="O206" s="2"/>
      <c r="P206" s="2"/>
      <c r="Q206" s="2"/>
      <c r="R206" s="2"/>
    </row>
    <row r="207" spans="1:18" x14ac:dyDescent="0.2">
      <c r="A207" s="2"/>
      <c r="B207" s="2"/>
      <c r="C207" s="74"/>
      <c r="D207" s="74"/>
      <c r="E207" s="74"/>
      <c r="F207" s="74"/>
      <c r="G207" s="74"/>
      <c r="H207" s="74"/>
      <c r="I207" s="74"/>
      <c r="J207" s="74"/>
      <c r="K207" s="192"/>
      <c r="L207" s="192"/>
      <c r="M207" s="75"/>
      <c r="N207" s="2"/>
      <c r="O207" s="2"/>
      <c r="P207" s="2"/>
      <c r="Q207" s="2"/>
      <c r="R207" s="2"/>
    </row>
    <row r="208" spans="1:18" ht="15.75" x14ac:dyDescent="0.25">
      <c r="A208" s="76"/>
      <c r="B208" s="77"/>
      <c r="C208" s="74"/>
      <c r="D208" s="74"/>
      <c r="E208" s="74"/>
      <c r="F208" s="74"/>
      <c r="G208" s="74"/>
      <c r="H208" s="74"/>
      <c r="I208" s="74"/>
      <c r="J208" s="74"/>
      <c r="K208" s="192"/>
      <c r="L208" s="192"/>
      <c r="M208" s="75"/>
      <c r="N208" s="2"/>
      <c r="O208" s="2"/>
      <c r="P208" s="2"/>
      <c r="Q208" s="2"/>
      <c r="R208" s="2"/>
    </row>
    <row r="209" spans="1:18" x14ac:dyDescent="0.2">
      <c r="A209" s="2"/>
      <c r="B209" s="77"/>
      <c r="C209" s="74"/>
      <c r="D209" s="74"/>
      <c r="E209" s="74"/>
      <c r="F209" s="74"/>
      <c r="G209" s="74"/>
      <c r="H209" s="74"/>
      <c r="I209" s="74"/>
      <c r="J209" s="74"/>
      <c r="K209" s="192"/>
      <c r="L209" s="192"/>
      <c r="M209" s="75"/>
      <c r="N209" s="2"/>
      <c r="O209" s="2"/>
      <c r="P209" s="2"/>
      <c r="Q209" s="2"/>
      <c r="R209" s="2"/>
    </row>
    <row r="210" spans="1:18" x14ac:dyDescent="0.2">
      <c r="A210" s="2"/>
      <c r="B210" s="77"/>
      <c r="C210" s="74"/>
      <c r="D210" s="74"/>
      <c r="E210" s="74"/>
      <c r="F210" s="74"/>
      <c r="G210" s="74"/>
      <c r="H210" s="74"/>
      <c r="I210" s="74"/>
      <c r="J210" s="74"/>
      <c r="K210" s="192"/>
      <c r="L210" s="192"/>
      <c r="M210" s="75"/>
      <c r="N210" s="2"/>
      <c r="O210" s="2"/>
      <c r="P210" s="2"/>
      <c r="Q210" s="2"/>
      <c r="R210" s="2"/>
    </row>
    <row r="211" spans="1:18" x14ac:dyDescent="0.2">
      <c r="A211" s="2"/>
      <c r="B211" s="2"/>
      <c r="C211" s="74"/>
      <c r="D211" s="74"/>
      <c r="E211" s="74"/>
      <c r="F211" s="74"/>
      <c r="G211" s="74"/>
      <c r="H211" s="74"/>
      <c r="I211" s="74"/>
      <c r="J211" s="74"/>
      <c r="K211" s="192"/>
      <c r="L211" s="192"/>
      <c r="M211" s="75"/>
      <c r="N211" s="2"/>
      <c r="O211" s="2"/>
      <c r="P211" s="2"/>
      <c r="Q211" s="2"/>
      <c r="R211" s="2"/>
    </row>
    <row r="212" spans="1:18" x14ac:dyDescent="0.2">
      <c r="A212" s="2"/>
      <c r="B212" s="2"/>
      <c r="C212" s="74"/>
      <c r="D212" s="74"/>
      <c r="E212" s="74"/>
      <c r="F212" s="74"/>
      <c r="G212" s="74"/>
      <c r="H212" s="74"/>
      <c r="I212" s="74"/>
      <c r="J212" s="74"/>
      <c r="K212" s="192"/>
      <c r="L212" s="192"/>
      <c r="M212" s="75"/>
      <c r="N212" s="2"/>
      <c r="O212" s="2"/>
      <c r="P212" s="2"/>
      <c r="Q212" s="2"/>
      <c r="R212" s="2"/>
    </row>
    <row r="213" spans="1:18" x14ac:dyDescent="0.2">
      <c r="A213" s="2"/>
      <c r="B213" s="2"/>
      <c r="C213" s="74"/>
      <c r="D213" s="74"/>
      <c r="E213" s="74"/>
      <c r="F213" s="74"/>
      <c r="G213" s="74"/>
      <c r="H213" s="74"/>
      <c r="I213" s="74"/>
      <c r="J213" s="74"/>
      <c r="K213" s="192"/>
      <c r="L213" s="192"/>
      <c r="M213" s="75"/>
      <c r="N213" s="2"/>
      <c r="O213" s="2"/>
      <c r="P213" s="2"/>
      <c r="Q213" s="2"/>
      <c r="R213" s="2"/>
    </row>
    <row r="214" spans="1:18" ht="15.75" x14ac:dyDescent="0.25">
      <c r="A214" s="76"/>
      <c r="B214" s="2"/>
      <c r="C214" s="74"/>
      <c r="D214" s="74"/>
      <c r="E214" s="74"/>
      <c r="F214" s="74"/>
      <c r="G214" s="74"/>
      <c r="H214" s="74"/>
      <c r="I214" s="74"/>
      <c r="J214" s="74"/>
      <c r="K214" s="192"/>
      <c r="L214" s="192"/>
      <c r="M214" s="75"/>
      <c r="N214" s="2"/>
      <c r="O214" s="2"/>
      <c r="P214" s="2"/>
      <c r="Q214" s="2"/>
      <c r="R214" s="2"/>
    </row>
    <row r="215" spans="1:18" x14ac:dyDescent="0.2">
      <c r="A215" s="2"/>
      <c r="B215" s="2"/>
      <c r="C215" s="74"/>
      <c r="D215" s="74"/>
      <c r="E215" s="74"/>
      <c r="F215" s="74"/>
      <c r="G215" s="74"/>
      <c r="H215" s="74"/>
      <c r="I215" s="74"/>
      <c r="J215" s="74"/>
      <c r="K215" s="192"/>
      <c r="L215" s="192"/>
      <c r="M215" s="75"/>
      <c r="N215" s="2"/>
      <c r="O215" s="2"/>
      <c r="P215" s="2"/>
      <c r="Q215" s="2"/>
      <c r="R215" s="2"/>
    </row>
    <row r="216" spans="1:18" x14ac:dyDescent="0.2">
      <c r="A216" s="2"/>
      <c r="B216" s="2"/>
      <c r="C216" s="74"/>
      <c r="D216" s="74"/>
      <c r="E216" s="74"/>
      <c r="F216" s="74"/>
      <c r="G216" s="74"/>
      <c r="H216" s="74"/>
      <c r="I216" s="74"/>
      <c r="J216" s="74"/>
      <c r="K216" s="192"/>
      <c r="L216" s="192"/>
      <c r="M216" s="75"/>
      <c r="N216" s="2"/>
      <c r="O216" s="2"/>
      <c r="P216" s="2"/>
      <c r="Q216" s="2"/>
      <c r="R216" s="2"/>
    </row>
    <row r="217" spans="1:18" ht="15.75" x14ac:dyDescent="0.25">
      <c r="A217" s="76"/>
      <c r="B217" s="76"/>
      <c r="C217" s="74"/>
      <c r="D217" s="74"/>
      <c r="E217" s="74"/>
      <c r="F217" s="74"/>
      <c r="G217" s="74"/>
      <c r="H217" s="74"/>
      <c r="I217" s="74"/>
      <c r="J217" s="74"/>
      <c r="K217" s="192"/>
      <c r="L217" s="192"/>
      <c r="M217" s="75"/>
      <c r="N217" s="2"/>
      <c r="O217" s="2"/>
      <c r="P217" s="2"/>
      <c r="Q217" s="2"/>
      <c r="R217" s="2"/>
    </row>
    <row r="218" spans="1:18" x14ac:dyDescent="0.2">
      <c r="A218" s="2"/>
      <c r="B218" s="2"/>
      <c r="C218" s="74"/>
      <c r="D218" s="74"/>
      <c r="E218" s="74"/>
      <c r="F218" s="74"/>
      <c r="G218" s="74"/>
      <c r="H218" s="74"/>
      <c r="I218" s="74"/>
      <c r="J218" s="74"/>
      <c r="K218" s="192"/>
      <c r="L218" s="192"/>
      <c r="M218" s="75"/>
      <c r="N218" s="2"/>
      <c r="O218" s="2"/>
      <c r="P218" s="2"/>
      <c r="Q218" s="2"/>
      <c r="R218" s="2"/>
    </row>
    <row r="219" spans="1:18" x14ac:dyDescent="0.2">
      <c r="A219" s="2"/>
      <c r="B219" s="2"/>
      <c r="C219" s="74"/>
      <c r="D219" s="74"/>
      <c r="E219" s="74"/>
      <c r="F219" s="74"/>
      <c r="G219" s="74"/>
      <c r="H219" s="74"/>
      <c r="I219" s="74"/>
      <c r="J219" s="74"/>
      <c r="K219" s="192"/>
      <c r="L219" s="192"/>
      <c r="M219" s="75"/>
      <c r="N219" s="2"/>
      <c r="O219" s="2"/>
      <c r="P219" s="2"/>
      <c r="Q219" s="2"/>
      <c r="R219" s="2"/>
    </row>
    <row r="220" spans="1:18" x14ac:dyDescent="0.2">
      <c r="A220" s="2"/>
      <c r="B220" s="2"/>
      <c r="C220" s="74"/>
      <c r="D220" s="74"/>
      <c r="E220" s="74"/>
      <c r="F220" s="74"/>
      <c r="G220" s="74"/>
      <c r="H220" s="74"/>
      <c r="I220" s="74"/>
      <c r="J220" s="74"/>
      <c r="K220" s="192"/>
      <c r="L220" s="192"/>
      <c r="M220" s="75"/>
      <c r="N220" s="2"/>
      <c r="O220" s="2"/>
      <c r="P220" s="2"/>
      <c r="Q220" s="2"/>
      <c r="R220" s="2"/>
    </row>
    <row r="221" spans="1:18" x14ac:dyDescent="0.2">
      <c r="A221" s="2"/>
      <c r="B221" s="2"/>
      <c r="C221" s="74"/>
      <c r="D221" s="74"/>
      <c r="E221" s="74"/>
      <c r="F221" s="74"/>
      <c r="G221" s="74"/>
      <c r="H221" s="74"/>
      <c r="I221" s="74"/>
      <c r="J221" s="74"/>
      <c r="K221" s="192"/>
      <c r="L221" s="192"/>
      <c r="M221" s="75"/>
      <c r="N221" s="2"/>
      <c r="O221" s="2"/>
      <c r="P221" s="2"/>
      <c r="Q221" s="2"/>
      <c r="R221" s="2"/>
    </row>
    <row r="222" spans="1:18" x14ac:dyDescent="0.2">
      <c r="A222" s="2"/>
      <c r="B222" s="2"/>
      <c r="C222" s="74"/>
      <c r="D222" s="74"/>
      <c r="E222" s="74"/>
      <c r="F222" s="74"/>
      <c r="G222" s="74"/>
      <c r="H222" s="74"/>
      <c r="I222" s="74"/>
      <c r="J222" s="74"/>
      <c r="K222" s="192"/>
      <c r="L222" s="192"/>
      <c r="M222" s="75"/>
      <c r="N222" s="2"/>
      <c r="O222" s="2"/>
      <c r="P222" s="2"/>
      <c r="Q222" s="2"/>
      <c r="R222" s="2"/>
    </row>
    <row r="223" spans="1:18" x14ac:dyDescent="0.2">
      <c r="A223" s="2"/>
      <c r="B223" s="2"/>
      <c r="C223" s="74"/>
      <c r="D223" s="74"/>
      <c r="E223" s="74"/>
      <c r="F223" s="74"/>
      <c r="G223" s="74"/>
      <c r="H223" s="74"/>
      <c r="I223" s="74"/>
      <c r="J223" s="74"/>
      <c r="K223" s="192"/>
      <c r="L223" s="192"/>
      <c r="M223" s="75"/>
      <c r="N223" s="2"/>
      <c r="O223" s="2"/>
      <c r="P223" s="2"/>
      <c r="Q223" s="2"/>
      <c r="R223" s="2"/>
    </row>
    <row r="224" spans="1:18" x14ac:dyDescent="0.2">
      <c r="A224" s="2"/>
      <c r="B224" s="2"/>
      <c r="C224" s="74"/>
      <c r="D224" s="74"/>
      <c r="E224" s="74"/>
      <c r="F224" s="74"/>
      <c r="G224" s="74"/>
      <c r="H224" s="74"/>
      <c r="I224" s="74"/>
      <c r="J224" s="74"/>
      <c r="K224" s="192"/>
      <c r="L224" s="192"/>
      <c r="M224" s="75"/>
      <c r="N224" s="2"/>
      <c r="O224" s="2"/>
      <c r="P224" s="2"/>
      <c r="Q224" s="2"/>
      <c r="R224" s="2"/>
    </row>
    <row r="225" spans="1:18" x14ac:dyDescent="0.2">
      <c r="A225" s="2"/>
      <c r="B225" s="2"/>
      <c r="C225" s="74"/>
      <c r="D225" s="74"/>
      <c r="E225" s="74"/>
      <c r="F225" s="74"/>
      <c r="G225" s="74"/>
      <c r="H225" s="74"/>
      <c r="I225" s="74"/>
      <c r="J225" s="74"/>
      <c r="K225" s="192"/>
      <c r="L225" s="192"/>
      <c r="M225" s="75"/>
      <c r="N225" s="2"/>
      <c r="O225" s="2"/>
      <c r="P225" s="2"/>
      <c r="Q225" s="2"/>
      <c r="R225" s="2"/>
    </row>
    <row r="226" spans="1:18" x14ac:dyDescent="0.2">
      <c r="A226" s="2"/>
      <c r="B226" s="2"/>
      <c r="C226" s="74"/>
      <c r="D226" s="74"/>
      <c r="E226" s="74"/>
      <c r="F226" s="74"/>
      <c r="G226" s="74"/>
      <c r="H226" s="74"/>
      <c r="I226" s="74"/>
      <c r="J226" s="74"/>
      <c r="K226" s="192"/>
      <c r="L226" s="192"/>
      <c r="M226" s="75"/>
      <c r="N226" s="2"/>
      <c r="O226" s="2"/>
      <c r="P226" s="2"/>
      <c r="Q226" s="2"/>
      <c r="R226" s="2"/>
    </row>
    <row r="227" spans="1:18" x14ac:dyDescent="0.2">
      <c r="A227" s="2"/>
      <c r="B227" s="2"/>
      <c r="C227" s="74"/>
      <c r="D227" s="74"/>
      <c r="E227" s="74"/>
      <c r="F227" s="74"/>
      <c r="G227" s="74"/>
      <c r="H227" s="74"/>
      <c r="I227" s="74"/>
      <c r="J227" s="74"/>
      <c r="K227" s="192"/>
      <c r="L227" s="192"/>
      <c r="M227" s="75"/>
      <c r="N227" s="2"/>
      <c r="O227" s="2"/>
      <c r="P227" s="2"/>
      <c r="Q227" s="2"/>
      <c r="R227" s="2"/>
    </row>
    <row r="228" spans="1:18" x14ac:dyDescent="0.2">
      <c r="A228" s="2"/>
      <c r="B228" s="2"/>
      <c r="C228" s="74"/>
      <c r="D228" s="74"/>
      <c r="E228" s="74"/>
      <c r="F228" s="74"/>
      <c r="G228" s="74"/>
      <c r="H228" s="74"/>
      <c r="I228" s="74"/>
      <c r="J228" s="74"/>
      <c r="K228" s="192"/>
      <c r="L228" s="192"/>
      <c r="M228" s="75"/>
      <c r="N228" s="2"/>
      <c r="O228" s="2"/>
      <c r="P228" s="2"/>
      <c r="Q228" s="2"/>
      <c r="R228" s="2"/>
    </row>
    <row r="229" spans="1:18" x14ac:dyDescent="0.2">
      <c r="A229" s="2"/>
      <c r="B229" s="2"/>
      <c r="C229" s="74"/>
      <c r="D229" s="74"/>
      <c r="E229" s="74"/>
      <c r="F229" s="74"/>
      <c r="G229" s="74"/>
      <c r="H229" s="74"/>
      <c r="I229" s="74"/>
      <c r="J229" s="74"/>
      <c r="K229" s="192"/>
      <c r="L229" s="192"/>
      <c r="M229" s="75"/>
      <c r="N229" s="2"/>
      <c r="O229" s="2"/>
      <c r="P229" s="2"/>
      <c r="Q229" s="2"/>
      <c r="R229" s="2"/>
    </row>
    <row r="230" spans="1:18" x14ac:dyDescent="0.2">
      <c r="A230" s="2"/>
      <c r="B230" s="2"/>
      <c r="C230" s="74"/>
      <c r="D230" s="74"/>
      <c r="E230" s="74"/>
      <c r="F230" s="74"/>
      <c r="G230" s="74"/>
      <c r="H230" s="74"/>
      <c r="I230" s="74"/>
      <c r="J230" s="74"/>
      <c r="K230" s="192"/>
      <c r="L230" s="192"/>
      <c r="M230" s="75"/>
      <c r="N230" s="2"/>
      <c r="O230" s="2"/>
      <c r="P230" s="2"/>
      <c r="Q230" s="2"/>
      <c r="R230" s="2"/>
    </row>
    <row r="231" spans="1:18" x14ac:dyDescent="0.2">
      <c r="A231" s="2"/>
      <c r="B231" s="2"/>
      <c r="C231" s="74"/>
      <c r="D231" s="74"/>
      <c r="E231" s="74"/>
      <c r="F231" s="74"/>
      <c r="G231" s="74"/>
      <c r="H231" s="74"/>
      <c r="I231" s="74"/>
      <c r="J231" s="74"/>
      <c r="K231" s="192"/>
      <c r="L231" s="192"/>
      <c r="M231" s="75"/>
      <c r="N231" s="2"/>
      <c r="O231" s="2"/>
      <c r="P231" s="2"/>
      <c r="Q231" s="2"/>
      <c r="R231" s="2"/>
    </row>
    <row r="232" spans="1:18" x14ac:dyDescent="0.2">
      <c r="A232" s="2"/>
      <c r="B232" s="2"/>
      <c r="C232" s="74"/>
      <c r="D232" s="74"/>
      <c r="E232" s="74"/>
      <c r="F232" s="74"/>
      <c r="G232" s="74"/>
      <c r="H232" s="74"/>
      <c r="I232" s="74"/>
      <c r="J232" s="74"/>
      <c r="K232" s="192"/>
      <c r="L232" s="192"/>
      <c r="M232" s="75"/>
      <c r="N232" s="2"/>
      <c r="O232" s="2"/>
      <c r="P232" s="2"/>
      <c r="Q232" s="2"/>
      <c r="R232" s="2"/>
    </row>
    <row r="233" spans="1:18" x14ac:dyDescent="0.2">
      <c r="A233" s="2"/>
      <c r="B233" s="2"/>
      <c r="C233" s="74"/>
      <c r="D233" s="74"/>
      <c r="E233" s="74"/>
      <c r="F233" s="74"/>
      <c r="G233" s="74"/>
      <c r="H233" s="74"/>
      <c r="I233" s="74"/>
      <c r="J233" s="74"/>
      <c r="K233" s="192"/>
      <c r="L233" s="192"/>
      <c r="M233" s="75"/>
      <c r="N233" s="2"/>
      <c r="O233" s="2"/>
      <c r="P233" s="2"/>
      <c r="Q233" s="2"/>
      <c r="R233" s="2"/>
    </row>
    <row r="234" spans="1:18" x14ac:dyDescent="0.2">
      <c r="A234" s="2"/>
      <c r="B234" s="2"/>
      <c r="C234" s="74"/>
      <c r="D234" s="74"/>
      <c r="E234" s="74"/>
      <c r="F234" s="74"/>
      <c r="G234" s="74"/>
      <c r="H234" s="74"/>
      <c r="I234" s="74"/>
      <c r="J234" s="74"/>
      <c r="K234" s="192"/>
      <c r="L234" s="192"/>
      <c r="M234" s="75"/>
      <c r="N234" s="2"/>
      <c r="O234" s="2"/>
      <c r="P234" s="2"/>
      <c r="Q234" s="2"/>
      <c r="R234" s="2"/>
    </row>
    <row r="235" spans="1:18" x14ac:dyDescent="0.2">
      <c r="A235" s="2"/>
      <c r="B235" s="2"/>
      <c r="C235" s="74"/>
      <c r="D235" s="74"/>
      <c r="E235" s="74"/>
      <c r="F235" s="74"/>
      <c r="G235" s="74"/>
      <c r="H235" s="74"/>
      <c r="I235" s="74"/>
      <c r="J235" s="74"/>
      <c r="K235" s="192"/>
      <c r="L235" s="192"/>
      <c r="M235" s="75"/>
      <c r="N235" s="2"/>
      <c r="O235" s="2"/>
      <c r="P235" s="2"/>
      <c r="Q235" s="2"/>
      <c r="R235" s="2"/>
    </row>
    <row r="236" spans="1:18" x14ac:dyDescent="0.2">
      <c r="A236" s="2"/>
      <c r="B236" s="2"/>
      <c r="C236" s="74"/>
      <c r="D236" s="74"/>
      <c r="E236" s="74"/>
      <c r="F236" s="74"/>
      <c r="G236" s="74"/>
      <c r="H236" s="74"/>
      <c r="I236" s="74"/>
      <c r="J236" s="74"/>
      <c r="K236" s="192"/>
      <c r="L236" s="192"/>
      <c r="M236" s="75"/>
      <c r="N236" s="2"/>
      <c r="O236" s="2"/>
      <c r="P236" s="2"/>
      <c r="Q236" s="2"/>
      <c r="R236" s="2"/>
    </row>
    <row r="237" spans="1:18" x14ac:dyDescent="0.2">
      <c r="A237" s="2"/>
      <c r="B237" s="2"/>
      <c r="C237" s="74"/>
      <c r="D237" s="74"/>
      <c r="E237" s="74"/>
      <c r="F237" s="74"/>
      <c r="G237" s="74"/>
      <c r="H237" s="74"/>
      <c r="I237" s="74"/>
      <c r="J237" s="74"/>
      <c r="K237" s="192"/>
      <c r="L237" s="192"/>
      <c r="M237" s="75"/>
      <c r="N237" s="2"/>
      <c r="O237" s="2"/>
      <c r="P237" s="2"/>
      <c r="Q237" s="2"/>
      <c r="R237" s="2"/>
    </row>
    <row r="238" spans="1:18" x14ac:dyDescent="0.2">
      <c r="A238" s="2"/>
      <c r="B238" s="2"/>
      <c r="C238" s="74"/>
      <c r="D238" s="74"/>
      <c r="E238" s="74"/>
      <c r="F238" s="74"/>
      <c r="G238" s="74"/>
      <c r="H238" s="74"/>
      <c r="I238" s="74"/>
      <c r="J238" s="74"/>
      <c r="K238" s="192"/>
      <c r="L238" s="192"/>
      <c r="M238" s="75"/>
      <c r="N238" s="2"/>
      <c r="O238" s="2"/>
      <c r="P238" s="2"/>
      <c r="Q238" s="2"/>
      <c r="R238" s="2"/>
    </row>
    <row r="239" spans="1:18" x14ac:dyDescent="0.2">
      <c r="A239" s="2"/>
      <c r="B239" s="2"/>
      <c r="C239" s="74"/>
      <c r="D239" s="74"/>
      <c r="E239" s="74"/>
      <c r="F239" s="74"/>
      <c r="G239" s="74"/>
      <c r="H239" s="74"/>
      <c r="I239" s="74"/>
      <c r="J239" s="74"/>
      <c r="K239" s="192"/>
      <c r="L239" s="192"/>
      <c r="M239" s="75"/>
      <c r="N239" s="2"/>
      <c r="O239" s="2"/>
      <c r="P239" s="2"/>
      <c r="Q239" s="2"/>
      <c r="R239" s="2"/>
    </row>
    <row r="240" spans="1:18" x14ac:dyDescent="0.2">
      <c r="A240" s="2"/>
      <c r="B240" s="2"/>
      <c r="C240" s="74"/>
      <c r="D240" s="74"/>
      <c r="E240" s="74"/>
      <c r="F240" s="74"/>
      <c r="G240" s="74"/>
      <c r="H240" s="74"/>
      <c r="I240" s="74"/>
      <c r="J240" s="74"/>
      <c r="K240" s="192"/>
      <c r="L240" s="192"/>
      <c r="M240" s="75"/>
      <c r="N240" s="2"/>
      <c r="O240" s="2"/>
      <c r="P240" s="2"/>
      <c r="Q240" s="2"/>
      <c r="R240" s="2"/>
    </row>
    <row r="241" spans="1:18" x14ac:dyDescent="0.2">
      <c r="A241" s="2"/>
      <c r="B241" s="2"/>
      <c r="C241" s="74"/>
      <c r="D241" s="74"/>
      <c r="E241" s="74"/>
      <c r="F241" s="74"/>
      <c r="G241" s="74"/>
      <c r="H241" s="74"/>
      <c r="I241" s="74"/>
      <c r="J241" s="74"/>
      <c r="K241" s="192"/>
      <c r="L241" s="192"/>
      <c r="M241" s="75"/>
      <c r="N241" s="2"/>
      <c r="O241" s="2"/>
      <c r="P241" s="2"/>
      <c r="Q241" s="2"/>
      <c r="R241" s="2"/>
    </row>
    <row r="242" spans="1:18" x14ac:dyDescent="0.2">
      <c r="A242" s="2"/>
      <c r="B242" s="2"/>
      <c r="C242" s="74"/>
      <c r="D242" s="74"/>
      <c r="E242" s="74"/>
      <c r="F242" s="74"/>
      <c r="G242" s="74"/>
      <c r="H242" s="74"/>
      <c r="I242" s="74"/>
      <c r="J242" s="74"/>
      <c r="K242" s="192"/>
      <c r="L242" s="192"/>
      <c r="M242" s="75"/>
      <c r="N242" s="2"/>
      <c r="O242" s="2"/>
      <c r="P242" s="2"/>
      <c r="Q242" s="2"/>
      <c r="R242" s="2"/>
    </row>
    <row r="243" spans="1:18" x14ac:dyDescent="0.2">
      <c r="A243" s="2"/>
      <c r="B243" s="2"/>
      <c r="C243" s="74"/>
      <c r="D243" s="74"/>
      <c r="E243" s="74"/>
      <c r="F243" s="74"/>
      <c r="G243" s="74"/>
      <c r="H243" s="74"/>
      <c r="I243" s="74"/>
      <c r="J243" s="74"/>
      <c r="K243" s="192"/>
      <c r="L243" s="192"/>
      <c r="M243" s="75"/>
      <c r="N243" s="2"/>
      <c r="O243" s="2"/>
      <c r="P243" s="2"/>
      <c r="Q243" s="2"/>
      <c r="R243" s="2"/>
    </row>
    <row r="244" spans="1:18" x14ac:dyDescent="0.2">
      <c r="A244" s="2"/>
      <c r="B244" s="2"/>
      <c r="C244" s="74"/>
      <c r="D244" s="74"/>
      <c r="E244" s="74"/>
      <c r="F244" s="74"/>
      <c r="G244" s="74"/>
      <c r="H244" s="74"/>
      <c r="I244" s="74"/>
      <c r="J244" s="74"/>
      <c r="K244" s="192"/>
      <c r="L244" s="192"/>
      <c r="M244" s="75"/>
      <c r="N244" s="2"/>
      <c r="O244" s="2"/>
      <c r="P244" s="2"/>
      <c r="Q244" s="2"/>
      <c r="R244" s="2"/>
    </row>
    <row r="245" spans="1:18" x14ac:dyDescent="0.2">
      <c r="A245" s="2"/>
      <c r="B245" s="2"/>
      <c r="C245" s="74"/>
      <c r="D245" s="74"/>
      <c r="E245" s="74"/>
      <c r="F245" s="74"/>
      <c r="G245" s="74"/>
      <c r="H245" s="74"/>
      <c r="I245" s="74"/>
      <c r="J245" s="74"/>
      <c r="K245" s="192"/>
      <c r="L245" s="192"/>
      <c r="M245" s="75"/>
      <c r="N245" s="2"/>
      <c r="O245" s="2"/>
      <c r="P245" s="2"/>
      <c r="Q245" s="2"/>
      <c r="R245" s="2"/>
    </row>
    <row r="246" spans="1:18" x14ac:dyDescent="0.2">
      <c r="A246" s="2"/>
      <c r="B246" s="2"/>
      <c r="C246" s="74"/>
      <c r="D246" s="74"/>
      <c r="E246" s="74"/>
      <c r="F246" s="74"/>
      <c r="G246" s="74"/>
      <c r="H246" s="74"/>
      <c r="I246" s="74"/>
      <c r="J246" s="74"/>
      <c r="K246" s="192"/>
      <c r="L246" s="192"/>
      <c r="M246" s="75"/>
      <c r="N246" s="2"/>
      <c r="O246" s="2"/>
      <c r="P246" s="2"/>
      <c r="Q246" s="2"/>
      <c r="R246" s="2"/>
    </row>
    <row r="247" spans="1:18" x14ac:dyDescent="0.2">
      <c r="A247" s="2"/>
      <c r="B247" s="2"/>
      <c r="C247" s="74"/>
      <c r="D247" s="74"/>
      <c r="E247" s="74"/>
      <c r="F247" s="74"/>
      <c r="G247" s="74"/>
      <c r="H247" s="74"/>
      <c r="I247" s="74"/>
      <c r="J247" s="74"/>
      <c r="K247" s="192"/>
      <c r="L247" s="192"/>
      <c r="M247" s="75"/>
      <c r="N247" s="2"/>
      <c r="O247" s="2"/>
      <c r="P247" s="2"/>
      <c r="Q247" s="2"/>
      <c r="R247" s="2"/>
    </row>
    <row r="248" spans="1:18" x14ac:dyDescent="0.2">
      <c r="A248" s="2"/>
      <c r="B248" s="2"/>
      <c r="C248" s="74"/>
      <c r="D248" s="74"/>
      <c r="E248" s="74"/>
      <c r="F248" s="74"/>
      <c r="G248" s="74"/>
      <c r="H248" s="74"/>
      <c r="I248" s="74"/>
      <c r="J248" s="74"/>
      <c r="K248" s="192"/>
      <c r="L248" s="192"/>
      <c r="M248" s="75"/>
      <c r="N248" s="2"/>
      <c r="O248" s="2"/>
      <c r="P248" s="2"/>
      <c r="Q248" s="2"/>
      <c r="R248" s="2"/>
    </row>
    <row r="249" spans="1:18" x14ac:dyDescent="0.2">
      <c r="A249" s="2"/>
      <c r="B249" s="2"/>
      <c r="C249" s="74"/>
      <c r="D249" s="74"/>
      <c r="E249" s="74"/>
      <c r="F249" s="74"/>
      <c r="G249" s="74"/>
      <c r="H249" s="74"/>
      <c r="I249" s="74"/>
      <c r="J249" s="74"/>
      <c r="K249" s="192"/>
      <c r="L249" s="192"/>
      <c r="M249" s="75"/>
      <c r="N249" s="2"/>
      <c r="O249" s="2"/>
      <c r="P249" s="2"/>
      <c r="Q249" s="2"/>
      <c r="R249" s="2"/>
    </row>
    <row r="250" spans="1:18" x14ac:dyDescent="0.2">
      <c r="A250" s="2"/>
      <c r="B250" s="2"/>
      <c r="C250" s="74"/>
      <c r="D250" s="74"/>
      <c r="E250" s="74"/>
      <c r="F250" s="74"/>
      <c r="G250" s="74"/>
      <c r="H250" s="74"/>
      <c r="I250" s="74"/>
      <c r="J250" s="74"/>
      <c r="K250" s="192"/>
      <c r="L250" s="192"/>
      <c r="M250" s="75"/>
      <c r="N250" s="2"/>
      <c r="O250" s="2"/>
      <c r="P250" s="2"/>
      <c r="Q250" s="2"/>
      <c r="R250" s="2"/>
    </row>
    <row r="251" spans="1:18" x14ac:dyDescent="0.2">
      <c r="A251" s="2"/>
      <c r="B251" s="2"/>
      <c r="C251" s="74"/>
      <c r="D251" s="74"/>
      <c r="E251" s="74"/>
      <c r="F251" s="74"/>
      <c r="G251" s="74"/>
      <c r="H251" s="74"/>
      <c r="I251" s="74"/>
      <c r="J251" s="74"/>
      <c r="K251" s="192"/>
      <c r="L251" s="192"/>
      <c r="M251" s="75"/>
      <c r="N251" s="2"/>
      <c r="O251" s="2"/>
      <c r="P251" s="2"/>
      <c r="Q251" s="2"/>
      <c r="R251" s="2"/>
    </row>
    <row r="252" spans="1:18" x14ac:dyDescent="0.2">
      <c r="A252" s="2"/>
      <c r="B252" s="2"/>
      <c r="C252" s="74"/>
      <c r="D252" s="74"/>
      <c r="E252" s="74"/>
      <c r="F252" s="74"/>
      <c r="G252" s="74"/>
      <c r="H252" s="74"/>
      <c r="I252" s="74"/>
      <c r="J252" s="74"/>
      <c r="K252" s="192"/>
      <c r="L252" s="192"/>
      <c r="M252" s="75"/>
      <c r="N252" s="2"/>
      <c r="O252" s="2"/>
      <c r="P252" s="2"/>
      <c r="Q252" s="2"/>
      <c r="R252" s="2"/>
    </row>
    <row r="253" spans="1:18" x14ac:dyDescent="0.2">
      <c r="A253" s="2"/>
      <c r="B253" s="2"/>
      <c r="C253" s="74"/>
      <c r="D253" s="74"/>
      <c r="E253" s="74"/>
      <c r="F253" s="74"/>
      <c r="G253" s="74"/>
      <c r="H253" s="74"/>
      <c r="I253" s="74"/>
      <c r="J253" s="74"/>
      <c r="K253" s="192"/>
      <c r="L253" s="192"/>
      <c r="M253" s="75"/>
      <c r="N253" s="2"/>
      <c r="O253" s="2"/>
      <c r="P253" s="2"/>
      <c r="Q253" s="2"/>
      <c r="R253" s="2"/>
    </row>
    <row r="254" spans="1:18" x14ac:dyDescent="0.2">
      <c r="A254" s="2"/>
      <c r="B254" s="2"/>
      <c r="C254" s="74"/>
      <c r="D254" s="74"/>
      <c r="E254" s="74"/>
      <c r="F254" s="74"/>
      <c r="G254" s="74"/>
      <c r="H254" s="74"/>
      <c r="I254" s="74"/>
      <c r="J254" s="74"/>
      <c r="K254" s="192"/>
      <c r="L254" s="192"/>
      <c r="M254" s="75"/>
      <c r="N254" s="2"/>
      <c r="O254" s="2"/>
      <c r="P254" s="2"/>
      <c r="Q254" s="2"/>
      <c r="R254" s="2"/>
    </row>
    <row r="255" spans="1:18" x14ac:dyDescent="0.2">
      <c r="A255" s="2"/>
      <c r="B255" s="2"/>
      <c r="C255" s="74"/>
      <c r="D255" s="74"/>
      <c r="E255" s="74"/>
      <c r="F255" s="74"/>
      <c r="G255" s="74"/>
      <c r="H255" s="74"/>
      <c r="I255" s="74"/>
      <c r="J255" s="74"/>
      <c r="K255" s="192"/>
      <c r="L255" s="192"/>
      <c r="M255" s="75"/>
      <c r="N255" s="2"/>
      <c r="O255" s="2"/>
      <c r="P255" s="2"/>
      <c r="Q255" s="2"/>
      <c r="R255" s="2"/>
    </row>
    <row r="256" spans="1:18" x14ac:dyDescent="0.2">
      <c r="A256" s="2"/>
      <c r="B256" s="2"/>
      <c r="C256" s="74"/>
      <c r="D256" s="74"/>
      <c r="E256" s="74"/>
      <c r="F256" s="74"/>
      <c r="G256" s="74"/>
      <c r="H256" s="74"/>
      <c r="I256" s="74"/>
      <c r="J256" s="74"/>
      <c r="K256" s="192"/>
      <c r="L256" s="192"/>
      <c r="M256" s="75"/>
      <c r="N256" s="2"/>
      <c r="O256" s="2"/>
      <c r="P256" s="2"/>
      <c r="Q256" s="2"/>
      <c r="R256" s="2"/>
    </row>
    <row r="257" spans="1:18" x14ac:dyDescent="0.2">
      <c r="A257" s="2"/>
      <c r="B257" s="2"/>
      <c r="C257" s="74"/>
      <c r="D257" s="74"/>
      <c r="E257" s="74"/>
      <c r="F257" s="74"/>
      <c r="G257" s="74"/>
      <c r="H257" s="74"/>
      <c r="I257" s="74"/>
      <c r="J257" s="74"/>
      <c r="K257" s="192"/>
      <c r="L257" s="192"/>
      <c r="M257" s="75"/>
      <c r="N257" s="2"/>
      <c r="O257" s="2"/>
      <c r="P257" s="2"/>
      <c r="Q257" s="2"/>
      <c r="R257" s="2"/>
    </row>
    <row r="258" spans="1:18" x14ac:dyDescent="0.2">
      <c r="A258" s="2"/>
      <c r="B258" s="2"/>
      <c r="C258" s="74"/>
      <c r="D258" s="74"/>
      <c r="E258" s="74"/>
      <c r="F258" s="74"/>
      <c r="G258" s="74"/>
      <c r="H258" s="74"/>
      <c r="I258" s="74"/>
      <c r="J258" s="74"/>
      <c r="K258" s="192"/>
      <c r="L258" s="192"/>
      <c r="M258" s="75"/>
      <c r="N258" s="2"/>
      <c r="O258" s="2"/>
      <c r="P258" s="2"/>
      <c r="Q258" s="2"/>
      <c r="R258" s="2"/>
    </row>
    <row r="259" spans="1:18" x14ac:dyDescent="0.2">
      <c r="A259" s="2"/>
      <c r="B259" s="2"/>
      <c r="C259" s="74"/>
      <c r="D259" s="74"/>
      <c r="E259" s="74"/>
      <c r="F259" s="74"/>
      <c r="G259" s="74"/>
      <c r="H259" s="74"/>
      <c r="I259" s="74"/>
      <c r="J259" s="74"/>
      <c r="K259" s="192"/>
      <c r="L259" s="192"/>
      <c r="M259" s="75"/>
      <c r="N259" s="2"/>
      <c r="O259" s="2"/>
      <c r="P259" s="2"/>
      <c r="Q259" s="2"/>
      <c r="R259" s="2"/>
    </row>
    <row r="260" spans="1:18" x14ac:dyDescent="0.2">
      <c r="A260" s="2"/>
      <c r="B260" s="2"/>
      <c r="C260" s="74"/>
      <c r="D260" s="74"/>
      <c r="E260" s="74"/>
      <c r="F260" s="74"/>
      <c r="G260" s="74"/>
      <c r="H260" s="74"/>
      <c r="I260" s="74"/>
      <c r="J260" s="74"/>
      <c r="K260" s="192"/>
      <c r="L260" s="192"/>
      <c r="M260" s="75"/>
      <c r="N260" s="2"/>
      <c r="O260" s="2"/>
      <c r="P260" s="2"/>
      <c r="Q260" s="2"/>
      <c r="R260" s="2"/>
    </row>
    <row r="261" spans="1:18" x14ac:dyDescent="0.2">
      <c r="A261" s="2"/>
      <c r="B261" s="2"/>
      <c r="C261" s="74"/>
      <c r="D261" s="74"/>
      <c r="E261" s="74"/>
      <c r="F261" s="74"/>
      <c r="G261" s="74"/>
      <c r="H261" s="74"/>
      <c r="I261" s="74"/>
      <c r="J261" s="74"/>
      <c r="K261" s="192"/>
      <c r="L261" s="192"/>
      <c r="M261" s="75"/>
      <c r="N261" s="2"/>
      <c r="O261" s="2"/>
      <c r="P261" s="2"/>
      <c r="Q261" s="2"/>
      <c r="R261" s="2"/>
    </row>
    <row r="262" spans="1:18" x14ac:dyDescent="0.2">
      <c r="A262" s="2"/>
      <c r="B262" s="2"/>
      <c r="C262" s="74"/>
      <c r="D262" s="74"/>
      <c r="E262" s="74"/>
      <c r="F262" s="74"/>
      <c r="G262" s="74"/>
      <c r="H262" s="74"/>
      <c r="I262" s="74"/>
      <c r="J262" s="74"/>
      <c r="K262" s="192"/>
      <c r="L262" s="192"/>
      <c r="M262" s="75"/>
      <c r="N262" s="2"/>
      <c r="O262" s="2"/>
      <c r="P262" s="2"/>
      <c r="Q262" s="2"/>
      <c r="R262" s="2"/>
    </row>
    <row r="263" spans="1:18" x14ac:dyDescent="0.2">
      <c r="A263" s="2"/>
      <c r="B263" s="2"/>
      <c r="C263" s="74"/>
      <c r="D263" s="74"/>
      <c r="E263" s="74"/>
      <c r="F263" s="74"/>
      <c r="G263" s="74"/>
      <c r="H263" s="74"/>
      <c r="I263" s="74"/>
      <c r="J263" s="74"/>
      <c r="K263" s="192"/>
      <c r="L263" s="192"/>
      <c r="M263" s="75"/>
      <c r="N263" s="2"/>
      <c r="O263" s="2"/>
      <c r="P263" s="2"/>
      <c r="Q263" s="2"/>
      <c r="R263" s="2"/>
    </row>
    <row r="264" spans="1:18" x14ac:dyDescent="0.2">
      <c r="A264" s="2"/>
      <c r="B264" s="2"/>
      <c r="C264" s="74"/>
      <c r="D264" s="74"/>
      <c r="E264" s="74"/>
      <c r="F264" s="74"/>
      <c r="G264" s="74"/>
      <c r="H264" s="74"/>
      <c r="I264" s="74"/>
      <c r="J264" s="74"/>
      <c r="K264" s="192"/>
      <c r="L264" s="192"/>
      <c r="M264" s="75"/>
      <c r="N264" s="2"/>
      <c r="O264" s="2"/>
      <c r="P264" s="2"/>
      <c r="Q264" s="2"/>
      <c r="R264" s="2"/>
    </row>
    <row r="265" spans="1:18" x14ac:dyDescent="0.2">
      <c r="A265" s="2"/>
      <c r="B265" s="2"/>
      <c r="C265" s="74"/>
      <c r="D265" s="74"/>
      <c r="E265" s="74"/>
      <c r="F265" s="74"/>
      <c r="G265" s="74"/>
      <c r="H265" s="74"/>
      <c r="I265" s="74"/>
      <c r="J265" s="74"/>
      <c r="K265" s="192"/>
      <c r="L265" s="192"/>
      <c r="M265" s="75"/>
      <c r="N265" s="2"/>
      <c r="O265" s="2"/>
      <c r="P265" s="2"/>
      <c r="Q265" s="2"/>
      <c r="R265" s="2"/>
    </row>
    <row r="266" spans="1:18" x14ac:dyDescent="0.2">
      <c r="A266" s="2"/>
      <c r="B266" s="2"/>
      <c r="C266" s="74"/>
      <c r="D266" s="74"/>
      <c r="E266" s="74"/>
      <c r="F266" s="74"/>
      <c r="G266" s="74"/>
      <c r="H266" s="74"/>
      <c r="I266" s="74"/>
      <c r="J266" s="74"/>
      <c r="K266" s="192"/>
      <c r="L266" s="192"/>
      <c r="M266" s="75"/>
      <c r="N266" s="2"/>
      <c r="O266" s="2"/>
      <c r="P266" s="2"/>
      <c r="Q266" s="2"/>
      <c r="R266" s="2"/>
    </row>
    <row r="267" spans="1:18" x14ac:dyDescent="0.2">
      <c r="A267" s="2"/>
      <c r="B267" s="2"/>
      <c r="C267" s="74"/>
      <c r="D267" s="74"/>
      <c r="E267" s="74"/>
      <c r="F267" s="74"/>
      <c r="G267" s="74"/>
      <c r="H267" s="74"/>
      <c r="I267" s="74"/>
      <c r="J267" s="74"/>
      <c r="K267" s="192"/>
      <c r="L267" s="192"/>
      <c r="M267" s="75"/>
      <c r="N267" s="2"/>
      <c r="O267" s="2"/>
      <c r="P267" s="2"/>
      <c r="Q267" s="2"/>
      <c r="R267" s="2"/>
    </row>
    <row r="268" spans="1:18" x14ac:dyDescent="0.2">
      <c r="A268" s="2"/>
      <c r="B268" s="2"/>
      <c r="C268" s="74"/>
      <c r="D268" s="74"/>
      <c r="E268" s="74"/>
      <c r="F268" s="74"/>
      <c r="G268" s="74"/>
      <c r="H268" s="74"/>
      <c r="I268" s="74"/>
      <c r="J268" s="74"/>
      <c r="K268" s="192"/>
      <c r="L268" s="192"/>
      <c r="M268" s="75"/>
      <c r="N268" s="2"/>
      <c r="O268" s="2"/>
      <c r="P268" s="2"/>
      <c r="Q268" s="2"/>
      <c r="R268" s="2"/>
    </row>
    <row r="269" spans="1:18" x14ac:dyDescent="0.2">
      <c r="A269" s="2"/>
      <c r="B269" s="2"/>
      <c r="C269" s="74"/>
      <c r="D269" s="74"/>
      <c r="E269" s="74"/>
      <c r="F269" s="74"/>
      <c r="G269" s="74"/>
      <c r="H269" s="74"/>
      <c r="I269" s="74"/>
      <c r="J269" s="74"/>
      <c r="K269" s="192"/>
      <c r="L269" s="192"/>
      <c r="M269" s="75"/>
      <c r="N269" s="2"/>
      <c r="O269" s="2"/>
      <c r="P269" s="2"/>
      <c r="Q269" s="2"/>
      <c r="R269" s="2"/>
    </row>
    <row r="270" spans="1:18" x14ac:dyDescent="0.2">
      <c r="A270" s="2"/>
      <c r="B270" s="2"/>
      <c r="C270" s="74"/>
      <c r="D270" s="74"/>
      <c r="E270" s="74"/>
      <c r="F270" s="74"/>
      <c r="G270" s="74"/>
      <c r="H270" s="74"/>
      <c r="I270" s="74"/>
      <c r="J270" s="74"/>
      <c r="K270" s="192"/>
      <c r="L270" s="192"/>
      <c r="M270" s="75"/>
      <c r="N270" s="2"/>
      <c r="O270" s="2"/>
      <c r="P270" s="2"/>
      <c r="Q270" s="2"/>
      <c r="R270" s="2"/>
    </row>
    <row r="271" spans="1:18" x14ac:dyDescent="0.2">
      <c r="A271" s="2"/>
      <c r="B271" s="2"/>
      <c r="C271" s="74"/>
      <c r="D271" s="74"/>
      <c r="E271" s="74"/>
      <c r="F271" s="74"/>
      <c r="G271" s="74"/>
      <c r="H271" s="74"/>
      <c r="I271" s="74"/>
      <c r="J271" s="74"/>
      <c r="K271" s="192"/>
      <c r="L271" s="192"/>
      <c r="M271" s="75"/>
      <c r="N271" s="2"/>
      <c r="O271" s="2"/>
      <c r="P271" s="2"/>
      <c r="Q271" s="2"/>
      <c r="R271" s="2"/>
    </row>
    <row r="272" spans="1:18" x14ac:dyDescent="0.2">
      <c r="A272" s="2"/>
      <c r="B272" s="2"/>
      <c r="C272" s="74"/>
      <c r="D272" s="74"/>
      <c r="E272" s="74"/>
      <c r="F272" s="74"/>
      <c r="G272" s="74"/>
      <c r="H272" s="74"/>
      <c r="I272" s="74"/>
      <c r="J272" s="74"/>
      <c r="K272" s="192"/>
      <c r="L272" s="192"/>
      <c r="M272" s="75"/>
      <c r="N272" s="2"/>
      <c r="O272" s="2"/>
      <c r="P272" s="2"/>
      <c r="Q272" s="2"/>
      <c r="R272" s="2"/>
    </row>
    <row r="273" spans="1:18" x14ac:dyDescent="0.2">
      <c r="A273" s="2"/>
      <c r="B273" s="2"/>
      <c r="C273" s="74"/>
      <c r="D273" s="74"/>
      <c r="E273" s="74"/>
      <c r="F273" s="74"/>
      <c r="G273" s="74"/>
      <c r="H273" s="74"/>
      <c r="I273" s="74"/>
      <c r="J273" s="74"/>
      <c r="K273" s="192"/>
      <c r="L273" s="192"/>
      <c r="M273" s="75"/>
      <c r="N273" s="2"/>
      <c r="O273" s="2"/>
      <c r="P273" s="2"/>
      <c r="Q273" s="2"/>
      <c r="R273" s="2"/>
    </row>
    <row r="274" spans="1:18" x14ac:dyDescent="0.2">
      <c r="A274" s="2"/>
      <c r="B274" s="2"/>
      <c r="C274" s="74"/>
      <c r="D274" s="74"/>
      <c r="E274" s="74"/>
      <c r="F274" s="74"/>
      <c r="G274" s="74"/>
      <c r="H274" s="74"/>
      <c r="I274" s="74"/>
      <c r="J274" s="74"/>
      <c r="K274" s="192"/>
      <c r="L274" s="192"/>
      <c r="M274" s="75"/>
      <c r="N274" s="2"/>
      <c r="O274" s="2"/>
      <c r="P274" s="2"/>
      <c r="Q274" s="2"/>
      <c r="R274" s="2"/>
    </row>
    <row r="275" spans="1:18" x14ac:dyDescent="0.2">
      <c r="A275" s="2"/>
      <c r="B275" s="2"/>
      <c r="C275" s="74"/>
      <c r="D275" s="74"/>
      <c r="E275" s="74"/>
      <c r="F275" s="74"/>
      <c r="G275" s="74"/>
      <c r="H275" s="74"/>
      <c r="I275" s="74"/>
      <c r="J275" s="74"/>
      <c r="K275" s="192"/>
      <c r="L275" s="192"/>
      <c r="M275" s="75"/>
      <c r="N275" s="2"/>
      <c r="O275" s="2"/>
      <c r="P275" s="2"/>
      <c r="Q275" s="2"/>
      <c r="R275" s="2"/>
    </row>
    <row r="276" spans="1:18" x14ac:dyDescent="0.2">
      <c r="A276" s="2"/>
      <c r="B276" s="2"/>
      <c r="C276" s="74"/>
      <c r="D276" s="74"/>
      <c r="E276" s="74"/>
      <c r="F276" s="74"/>
      <c r="G276" s="74"/>
      <c r="H276" s="74"/>
      <c r="I276" s="74"/>
      <c r="J276" s="74"/>
      <c r="K276" s="192"/>
      <c r="L276" s="192"/>
      <c r="M276" s="75"/>
      <c r="N276" s="2"/>
      <c r="O276" s="2"/>
      <c r="P276" s="2"/>
      <c r="Q276" s="2"/>
      <c r="R276" s="2"/>
    </row>
    <row r="277" spans="1:18" x14ac:dyDescent="0.2">
      <c r="A277" s="2"/>
      <c r="B277" s="2"/>
      <c r="C277" s="74"/>
      <c r="D277" s="74"/>
      <c r="E277" s="74"/>
      <c r="F277" s="74"/>
      <c r="G277" s="74"/>
      <c r="H277" s="74"/>
      <c r="I277" s="74"/>
      <c r="J277" s="74"/>
      <c r="K277" s="192"/>
      <c r="L277" s="192"/>
      <c r="M277" s="75"/>
      <c r="N277" s="2"/>
      <c r="O277" s="2"/>
      <c r="P277" s="2"/>
      <c r="Q277" s="2"/>
      <c r="R277" s="2"/>
    </row>
    <row r="278" spans="1:18" x14ac:dyDescent="0.2">
      <c r="A278" s="2"/>
      <c r="B278" s="2"/>
      <c r="C278" s="74"/>
      <c r="D278" s="74"/>
      <c r="E278" s="74"/>
      <c r="F278" s="74"/>
      <c r="G278" s="74"/>
      <c r="H278" s="74"/>
      <c r="I278" s="74"/>
      <c r="J278" s="74"/>
      <c r="K278" s="192"/>
      <c r="L278" s="192"/>
      <c r="M278" s="75"/>
      <c r="N278" s="2"/>
      <c r="O278" s="2"/>
      <c r="P278" s="2"/>
      <c r="Q278" s="2"/>
      <c r="R278" s="2"/>
    </row>
    <row r="279" spans="1:18" x14ac:dyDescent="0.2">
      <c r="A279" s="2"/>
      <c r="B279" s="2"/>
      <c r="C279" s="74"/>
      <c r="D279" s="74"/>
      <c r="E279" s="74"/>
      <c r="F279" s="74"/>
      <c r="G279" s="74"/>
      <c r="H279" s="74"/>
      <c r="I279" s="74"/>
      <c r="J279" s="74"/>
      <c r="K279" s="192"/>
      <c r="L279" s="192"/>
      <c r="M279" s="75"/>
      <c r="N279" s="2"/>
      <c r="O279" s="2"/>
      <c r="P279" s="2"/>
      <c r="Q279" s="2"/>
      <c r="R279" s="2"/>
    </row>
    <row r="280" spans="1:18" x14ac:dyDescent="0.2">
      <c r="A280" s="2"/>
      <c r="B280" s="2"/>
      <c r="C280" s="74"/>
      <c r="D280" s="74"/>
      <c r="E280" s="74"/>
      <c r="F280" s="74"/>
      <c r="G280" s="74"/>
      <c r="H280" s="74"/>
      <c r="I280" s="74"/>
      <c r="J280" s="74"/>
      <c r="K280" s="192"/>
      <c r="L280" s="192"/>
      <c r="M280" s="75"/>
      <c r="N280" s="2"/>
      <c r="O280" s="2"/>
      <c r="P280" s="2"/>
      <c r="Q280" s="2"/>
      <c r="R280" s="2"/>
    </row>
    <row r="281" spans="1:18" x14ac:dyDescent="0.2">
      <c r="A281" s="2"/>
      <c r="B281" s="2"/>
      <c r="C281" s="74"/>
      <c r="D281" s="74"/>
      <c r="E281" s="74"/>
      <c r="F281" s="74"/>
      <c r="G281" s="74"/>
      <c r="H281" s="74"/>
      <c r="I281" s="74"/>
      <c r="J281" s="74"/>
      <c r="K281" s="192"/>
      <c r="L281" s="192"/>
      <c r="M281" s="75"/>
      <c r="N281" s="2"/>
      <c r="O281" s="2"/>
      <c r="P281" s="2"/>
      <c r="Q281" s="2"/>
      <c r="R281" s="2"/>
    </row>
    <row r="282" spans="1:18" x14ac:dyDescent="0.2">
      <c r="A282" s="2"/>
      <c r="B282" s="2"/>
      <c r="C282" s="74"/>
      <c r="D282" s="74"/>
      <c r="E282" s="74"/>
      <c r="F282" s="74"/>
      <c r="G282" s="74"/>
      <c r="H282" s="74"/>
      <c r="I282" s="74"/>
      <c r="J282" s="74"/>
      <c r="K282" s="192"/>
      <c r="L282" s="192"/>
      <c r="M282" s="75"/>
      <c r="N282" s="2"/>
      <c r="O282" s="2"/>
      <c r="P282" s="2"/>
      <c r="Q282" s="2"/>
      <c r="R282" s="2"/>
    </row>
    <row r="283" spans="1:18" x14ac:dyDescent="0.2">
      <c r="A283" s="2"/>
      <c r="B283" s="2"/>
      <c r="C283" s="74"/>
      <c r="D283" s="74"/>
      <c r="E283" s="74"/>
      <c r="F283" s="74"/>
      <c r="G283" s="74"/>
      <c r="H283" s="74"/>
      <c r="I283" s="74"/>
      <c r="J283" s="74"/>
      <c r="K283" s="192"/>
      <c r="L283" s="192"/>
      <c r="M283" s="75"/>
      <c r="N283" s="2"/>
      <c r="O283" s="2"/>
      <c r="P283" s="2"/>
      <c r="Q283" s="2"/>
      <c r="R283" s="2"/>
    </row>
    <row r="284" spans="1:18" x14ac:dyDescent="0.2">
      <c r="A284" s="2"/>
      <c r="B284" s="2"/>
      <c r="C284" s="74"/>
      <c r="D284" s="74"/>
      <c r="E284" s="74"/>
      <c r="F284" s="74"/>
      <c r="G284" s="74"/>
      <c r="H284" s="74"/>
      <c r="I284" s="74"/>
      <c r="J284" s="74"/>
      <c r="K284" s="192"/>
      <c r="L284" s="192"/>
      <c r="M284" s="75"/>
      <c r="N284" s="2"/>
      <c r="O284" s="2"/>
      <c r="P284" s="2"/>
      <c r="Q284" s="2"/>
      <c r="R284" s="2"/>
    </row>
    <row r="285" spans="1:18" x14ac:dyDescent="0.2">
      <c r="A285" s="2"/>
      <c r="B285" s="2"/>
      <c r="C285" s="74"/>
      <c r="D285" s="74"/>
      <c r="E285" s="74"/>
      <c r="F285" s="74"/>
      <c r="G285" s="74"/>
      <c r="H285" s="74"/>
      <c r="I285" s="74"/>
      <c r="J285" s="74"/>
      <c r="K285" s="192"/>
      <c r="L285" s="192"/>
      <c r="M285" s="75"/>
      <c r="N285" s="2"/>
      <c r="O285" s="2"/>
      <c r="P285" s="2"/>
      <c r="Q285" s="2"/>
      <c r="R285" s="2"/>
    </row>
    <row r="286" spans="1:18" x14ac:dyDescent="0.2">
      <c r="A286" s="2"/>
      <c r="B286" s="2"/>
      <c r="C286" s="74"/>
      <c r="D286" s="74"/>
      <c r="E286" s="74"/>
      <c r="F286" s="74"/>
      <c r="G286" s="74"/>
      <c r="H286" s="74"/>
      <c r="I286" s="74"/>
      <c r="J286" s="74"/>
      <c r="K286" s="192"/>
      <c r="L286" s="192"/>
      <c r="M286" s="75"/>
      <c r="N286" s="2"/>
      <c r="O286" s="2"/>
      <c r="P286" s="2"/>
      <c r="Q286" s="2"/>
      <c r="R286" s="2"/>
    </row>
    <row r="287" spans="1:18" x14ac:dyDescent="0.2">
      <c r="A287" s="2"/>
      <c r="B287" s="2"/>
      <c r="C287" s="74"/>
      <c r="D287" s="74"/>
      <c r="E287" s="74"/>
      <c r="F287" s="74"/>
      <c r="G287" s="74"/>
      <c r="H287" s="74"/>
      <c r="I287" s="74"/>
      <c r="J287" s="74"/>
      <c r="K287" s="192"/>
      <c r="L287" s="192"/>
      <c r="M287" s="75"/>
      <c r="N287" s="2"/>
      <c r="O287" s="2"/>
      <c r="P287" s="2"/>
      <c r="Q287" s="2"/>
      <c r="R287" s="2"/>
    </row>
    <row r="288" spans="1:18" x14ac:dyDescent="0.2">
      <c r="A288" s="2"/>
      <c r="B288" s="2"/>
      <c r="C288" s="74"/>
      <c r="D288" s="74"/>
      <c r="E288" s="74"/>
      <c r="F288" s="74"/>
      <c r="G288" s="74"/>
      <c r="H288" s="74"/>
      <c r="I288" s="74"/>
      <c r="J288" s="74"/>
      <c r="K288" s="192"/>
      <c r="L288" s="192"/>
      <c r="M288" s="75"/>
      <c r="N288" s="2"/>
      <c r="O288" s="2"/>
      <c r="P288" s="2"/>
      <c r="Q288" s="2"/>
      <c r="R288" s="2"/>
    </row>
    <row r="289" spans="1:18" x14ac:dyDescent="0.2">
      <c r="A289" s="2"/>
      <c r="B289" s="2"/>
      <c r="C289" s="74"/>
      <c r="D289" s="74"/>
      <c r="E289" s="74"/>
      <c r="F289" s="74"/>
      <c r="G289" s="74"/>
      <c r="H289" s="74"/>
      <c r="I289" s="74"/>
      <c r="J289" s="74"/>
      <c r="K289" s="192"/>
      <c r="L289" s="192"/>
      <c r="M289" s="75"/>
      <c r="N289" s="2"/>
      <c r="O289" s="2"/>
      <c r="P289" s="2"/>
      <c r="Q289" s="2"/>
      <c r="R289" s="2"/>
    </row>
    <row r="290" spans="1:18" x14ac:dyDescent="0.2">
      <c r="A290" s="2"/>
      <c r="B290" s="2"/>
      <c r="C290" s="74"/>
      <c r="D290" s="74"/>
      <c r="E290" s="74"/>
      <c r="F290" s="74"/>
      <c r="G290" s="74"/>
      <c r="H290" s="74"/>
      <c r="I290" s="74"/>
      <c r="J290" s="74"/>
      <c r="K290" s="192"/>
      <c r="L290" s="192"/>
      <c r="M290" s="75"/>
      <c r="N290" s="2"/>
      <c r="O290" s="2"/>
      <c r="P290" s="2"/>
      <c r="Q290" s="2"/>
      <c r="R290" s="2"/>
    </row>
    <row r="291" spans="1:18" x14ac:dyDescent="0.2">
      <c r="A291" s="2"/>
      <c r="B291" s="2"/>
      <c r="C291" s="74"/>
      <c r="D291" s="74"/>
      <c r="E291" s="74"/>
      <c r="F291" s="74"/>
      <c r="G291" s="74"/>
      <c r="H291" s="74"/>
      <c r="I291" s="74"/>
      <c r="J291" s="74"/>
      <c r="K291" s="192"/>
      <c r="L291" s="192"/>
      <c r="M291" s="75"/>
      <c r="N291" s="2"/>
      <c r="O291" s="2"/>
      <c r="P291" s="2"/>
      <c r="Q291" s="2"/>
      <c r="R291" s="2"/>
    </row>
    <row r="292" spans="1:18" x14ac:dyDescent="0.2">
      <c r="A292" s="2"/>
      <c r="B292" s="2"/>
      <c r="C292" s="74"/>
      <c r="D292" s="74"/>
      <c r="E292" s="74"/>
      <c r="F292" s="74"/>
      <c r="G292" s="74"/>
      <c r="H292" s="74"/>
      <c r="I292" s="74"/>
      <c r="J292" s="74"/>
      <c r="K292" s="192"/>
      <c r="L292" s="192"/>
      <c r="M292" s="75"/>
      <c r="N292" s="2"/>
      <c r="O292" s="2"/>
      <c r="P292" s="2"/>
      <c r="Q292" s="2"/>
      <c r="R292" s="2"/>
    </row>
    <row r="293" spans="1:18" x14ac:dyDescent="0.2">
      <c r="A293" s="2"/>
      <c r="B293" s="2"/>
      <c r="C293" s="74"/>
      <c r="D293" s="74"/>
      <c r="E293" s="74"/>
      <c r="F293" s="74"/>
      <c r="G293" s="74"/>
      <c r="H293" s="74"/>
      <c r="I293" s="74"/>
      <c r="J293" s="74"/>
      <c r="K293" s="192"/>
      <c r="L293" s="192"/>
      <c r="M293" s="75"/>
      <c r="N293" s="2"/>
      <c r="O293" s="2"/>
      <c r="P293" s="2"/>
      <c r="Q293" s="2"/>
      <c r="R293" s="2"/>
    </row>
    <row r="294" spans="1:18" x14ac:dyDescent="0.2">
      <c r="A294" s="2"/>
      <c r="B294" s="2"/>
      <c r="C294" s="74"/>
      <c r="D294" s="74"/>
      <c r="E294" s="74"/>
      <c r="F294" s="74"/>
      <c r="G294" s="74"/>
      <c r="H294" s="74"/>
      <c r="I294" s="74"/>
      <c r="J294" s="74"/>
      <c r="K294" s="192"/>
      <c r="L294" s="192"/>
      <c r="M294" s="75"/>
      <c r="N294" s="2"/>
      <c r="O294" s="2"/>
      <c r="P294" s="2"/>
      <c r="Q294" s="2"/>
      <c r="R294" s="2"/>
    </row>
    <row r="295" spans="1:18" x14ac:dyDescent="0.2">
      <c r="A295" s="2"/>
      <c r="B295" s="2"/>
      <c r="C295" s="74"/>
      <c r="D295" s="74"/>
      <c r="E295" s="74"/>
      <c r="F295" s="74"/>
      <c r="G295" s="74"/>
      <c r="H295" s="74"/>
      <c r="I295" s="74"/>
      <c r="J295" s="74"/>
      <c r="K295" s="192"/>
      <c r="L295" s="192"/>
      <c r="M295" s="75"/>
      <c r="N295" s="2"/>
      <c r="O295" s="2"/>
      <c r="P295" s="2"/>
      <c r="Q295" s="2"/>
      <c r="R295" s="2"/>
    </row>
    <row r="296" spans="1:18" x14ac:dyDescent="0.2">
      <c r="A296" s="2"/>
      <c r="B296" s="2"/>
      <c r="C296" s="74"/>
      <c r="D296" s="74"/>
      <c r="E296" s="74"/>
      <c r="F296" s="74"/>
      <c r="G296" s="74"/>
      <c r="H296" s="74"/>
      <c r="I296" s="74"/>
      <c r="J296" s="74"/>
      <c r="K296" s="192"/>
      <c r="L296" s="192"/>
      <c r="M296" s="75"/>
      <c r="N296" s="2"/>
      <c r="O296" s="2"/>
      <c r="P296" s="2"/>
      <c r="Q296" s="2"/>
      <c r="R296" s="2"/>
    </row>
    <row r="297" spans="1:18" x14ac:dyDescent="0.2">
      <c r="A297" s="2"/>
      <c r="B297" s="2"/>
      <c r="C297" s="74"/>
      <c r="D297" s="74"/>
      <c r="E297" s="74"/>
      <c r="F297" s="74"/>
      <c r="G297" s="74"/>
      <c r="H297" s="74"/>
      <c r="I297" s="74"/>
      <c r="J297" s="74"/>
      <c r="K297" s="192"/>
      <c r="L297" s="192"/>
      <c r="M297" s="75"/>
      <c r="N297" s="2"/>
      <c r="O297" s="2"/>
      <c r="P297" s="2"/>
      <c r="Q297" s="2"/>
      <c r="R297" s="2"/>
    </row>
    <row r="298" spans="1:18" x14ac:dyDescent="0.2">
      <c r="A298" s="2"/>
      <c r="B298" s="2"/>
      <c r="C298" s="74"/>
      <c r="D298" s="74"/>
      <c r="E298" s="74"/>
      <c r="F298" s="74"/>
      <c r="G298" s="74"/>
      <c r="H298" s="74"/>
      <c r="I298" s="74"/>
      <c r="J298" s="74"/>
      <c r="K298" s="192"/>
      <c r="L298" s="192"/>
      <c r="M298" s="75"/>
      <c r="N298" s="2"/>
      <c r="O298" s="2"/>
      <c r="P298" s="2"/>
      <c r="Q298" s="2"/>
      <c r="R298" s="2"/>
    </row>
    <row r="299" spans="1:18" x14ac:dyDescent="0.2">
      <c r="A299" s="2"/>
      <c r="B299" s="2"/>
      <c r="C299" s="74"/>
      <c r="D299" s="74"/>
      <c r="E299" s="74"/>
      <c r="F299" s="74"/>
      <c r="G299" s="74"/>
      <c r="H299" s="74"/>
      <c r="I299" s="74"/>
      <c r="J299" s="74"/>
      <c r="K299" s="192"/>
      <c r="L299" s="192"/>
      <c r="M299" s="75"/>
      <c r="N299" s="2"/>
      <c r="O299" s="2"/>
      <c r="P299" s="2"/>
      <c r="Q299" s="2"/>
      <c r="R299" s="2"/>
    </row>
    <row r="300" spans="1:18" x14ac:dyDescent="0.2">
      <c r="A300" s="2"/>
      <c r="B300" s="2"/>
      <c r="C300" s="74"/>
      <c r="D300" s="74"/>
      <c r="E300" s="74"/>
      <c r="F300" s="74"/>
      <c r="G300" s="74"/>
      <c r="H300" s="74"/>
      <c r="I300" s="74"/>
      <c r="J300" s="74"/>
      <c r="K300" s="192"/>
      <c r="L300" s="192"/>
      <c r="M300" s="75"/>
      <c r="N300" s="2"/>
      <c r="O300" s="2"/>
      <c r="P300" s="2"/>
      <c r="Q300" s="2"/>
      <c r="R300" s="2"/>
    </row>
    <row r="301" spans="1:18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192"/>
      <c r="L301" s="192"/>
      <c r="M301" s="75"/>
      <c r="N301" s="2"/>
      <c r="O301" s="2"/>
      <c r="P301" s="2"/>
      <c r="Q301" s="2"/>
      <c r="R301" s="2"/>
    </row>
    <row r="302" spans="1:18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192"/>
      <c r="L302" s="192"/>
      <c r="M302" s="75"/>
      <c r="N302" s="2"/>
      <c r="O302" s="2"/>
      <c r="P302" s="2"/>
      <c r="Q302" s="2"/>
      <c r="R302" s="2"/>
    </row>
    <row r="303" spans="1:18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192"/>
      <c r="L303" s="192"/>
      <c r="M303" s="75"/>
      <c r="N303" s="2"/>
      <c r="O303" s="2"/>
      <c r="P303" s="2"/>
      <c r="Q303" s="2"/>
      <c r="R303" s="2"/>
    </row>
    <row r="304" spans="1:18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192"/>
      <c r="L304" s="192"/>
      <c r="M304" s="75"/>
      <c r="N304" s="2"/>
      <c r="O304" s="2"/>
      <c r="P304" s="2"/>
      <c r="Q304" s="2"/>
      <c r="R304" s="2"/>
    </row>
    <row r="305" spans="1:18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192"/>
      <c r="L305" s="192"/>
      <c r="M305" s="75"/>
      <c r="N305" s="2"/>
      <c r="O305" s="2"/>
      <c r="P305" s="2"/>
      <c r="Q305" s="2"/>
      <c r="R305" s="2"/>
    </row>
    <row r="306" spans="1:18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192"/>
      <c r="L306" s="192"/>
      <c r="M306" s="75"/>
      <c r="N306" s="2"/>
      <c r="O306" s="2"/>
      <c r="P306" s="2"/>
      <c r="Q306" s="2"/>
      <c r="R306" s="2"/>
    </row>
    <row r="307" spans="1:18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192"/>
      <c r="L307" s="192"/>
      <c r="M307" s="75"/>
      <c r="N307" s="2"/>
      <c r="O307" s="2"/>
      <c r="P307" s="2"/>
      <c r="Q307" s="2"/>
      <c r="R307" s="2"/>
    </row>
    <row r="308" spans="1:18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192"/>
      <c r="L308" s="192"/>
      <c r="M308" s="75"/>
      <c r="N308" s="2"/>
      <c r="O308" s="2"/>
      <c r="P308" s="2"/>
      <c r="Q308" s="2"/>
      <c r="R308" s="2"/>
    </row>
    <row r="309" spans="1:18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192"/>
      <c r="L309" s="192"/>
      <c r="M309" s="75"/>
      <c r="N309" s="2"/>
      <c r="O309" s="2"/>
      <c r="P309" s="2"/>
      <c r="Q309" s="2"/>
      <c r="R309" s="2"/>
    </row>
    <row r="310" spans="1:18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192"/>
      <c r="L310" s="192"/>
      <c r="M310" s="75"/>
      <c r="N310" s="2"/>
      <c r="O310" s="2"/>
      <c r="P310" s="2"/>
      <c r="Q310" s="2"/>
      <c r="R310" s="2"/>
    </row>
    <row r="311" spans="1:18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192"/>
      <c r="L311" s="192"/>
      <c r="M311" s="75"/>
      <c r="N311" s="2"/>
      <c r="O311" s="2"/>
      <c r="P311" s="2"/>
      <c r="Q311" s="2"/>
      <c r="R311" s="2"/>
    </row>
    <row r="312" spans="1:18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192"/>
      <c r="L312" s="192"/>
      <c r="M312" s="75"/>
      <c r="N312" s="2"/>
      <c r="O312" s="2"/>
      <c r="P312" s="2"/>
      <c r="Q312" s="2"/>
      <c r="R312" s="2"/>
    </row>
    <row r="313" spans="1:18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192"/>
      <c r="L313" s="192"/>
      <c r="M313" s="75"/>
      <c r="N313" s="2"/>
      <c r="O313" s="2"/>
      <c r="P313" s="2"/>
      <c r="Q313" s="2"/>
      <c r="R313" s="2"/>
    </row>
    <row r="314" spans="1:18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192"/>
      <c r="L314" s="192"/>
      <c r="M314" s="75"/>
      <c r="N314" s="2"/>
      <c r="O314" s="2"/>
      <c r="P314" s="2"/>
      <c r="Q314" s="2"/>
      <c r="R314" s="2"/>
    </row>
    <row r="315" spans="1:18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192"/>
      <c r="L315" s="192"/>
      <c r="M315" s="75"/>
      <c r="N315" s="2"/>
      <c r="O315" s="2"/>
      <c r="P315" s="2"/>
      <c r="Q315" s="2"/>
      <c r="R315" s="2"/>
    </row>
    <row r="316" spans="1:18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192"/>
      <c r="L316" s="192"/>
      <c r="M316" s="75"/>
      <c r="N316" s="2"/>
      <c r="O316" s="2"/>
      <c r="P316" s="2"/>
      <c r="Q316" s="2"/>
      <c r="R316" s="2"/>
    </row>
    <row r="317" spans="1:18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192"/>
      <c r="L317" s="192"/>
      <c r="M317" s="75"/>
      <c r="N317" s="2"/>
      <c r="O317" s="2"/>
      <c r="P317" s="2"/>
      <c r="Q317" s="2"/>
      <c r="R317" s="2"/>
    </row>
    <row r="318" spans="1:18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192"/>
      <c r="L318" s="192"/>
      <c r="M318" s="75"/>
      <c r="N318" s="2"/>
      <c r="O318" s="2"/>
      <c r="P318" s="2"/>
      <c r="Q318" s="2"/>
      <c r="R318" s="2"/>
    </row>
    <row r="319" spans="1:18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192"/>
      <c r="L319" s="192"/>
      <c r="M319" s="75"/>
      <c r="N319" s="2"/>
      <c r="O319" s="2"/>
      <c r="P319" s="2"/>
      <c r="Q319" s="2"/>
      <c r="R319" s="2"/>
    </row>
    <row r="320" spans="1:18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192"/>
      <c r="L320" s="192"/>
      <c r="M320" s="75"/>
      <c r="N320" s="2"/>
      <c r="O320" s="2"/>
      <c r="P320" s="2"/>
      <c r="Q320" s="2"/>
      <c r="R320" s="2"/>
    </row>
    <row r="321" spans="1:18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192"/>
      <c r="L321" s="192"/>
      <c r="M321" s="75"/>
      <c r="N321" s="2"/>
      <c r="O321" s="2"/>
      <c r="P321" s="2"/>
      <c r="Q321" s="2"/>
      <c r="R321" s="2"/>
    </row>
    <row r="322" spans="1:18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192"/>
      <c r="L322" s="192"/>
      <c r="M322" s="75"/>
      <c r="N322" s="2"/>
      <c r="O322" s="2"/>
      <c r="P322" s="2"/>
      <c r="Q322" s="2"/>
      <c r="R322" s="2"/>
    </row>
    <row r="323" spans="1:18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192"/>
      <c r="L323" s="192"/>
      <c r="M323" s="75"/>
      <c r="N323" s="2"/>
      <c r="O323" s="2"/>
      <c r="P323" s="2"/>
      <c r="Q323" s="2"/>
      <c r="R323" s="2"/>
    </row>
    <row r="324" spans="1:18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192"/>
      <c r="L324" s="192"/>
      <c r="M324" s="75"/>
      <c r="N324" s="2"/>
      <c r="O324" s="2"/>
      <c r="P324" s="2"/>
      <c r="Q324" s="2"/>
      <c r="R324" s="2"/>
    </row>
    <row r="325" spans="1:18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192"/>
      <c r="L325" s="192"/>
      <c r="M325" s="75"/>
      <c r="N325" s="2"/>
      <c r="O325" s="2"/>
      <c r="P325" s="2"/>
      <c r="Q325" s="2"/>
      <c r="R325" s="2"/>
    </row>
    <row r="326" spans="1:18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192"/>
      <c r="L326" s="192"/>
      <c r="M326" s="75"/>
      <c r="N326" s="2"/>
      <c r="O326" s="2"/>
      <c r="P326" s="2"/>
      <c r="Q326" s="2"/>
      <c r="R326" s="2"/>
    </row>
    <row r="327" spans="1:18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192"/>
      <c r="L327" s="192"/>
      <c r="M327" s="75"/>
      <c r="N327" s="2"/>
      <c r="O327" s="2"/>
      <c r="P327" s="2"/>
      <c r="Q327" s="2"/>
      <c r="R327" s="2"/>
    </row>
    <row r="328" spans="1:18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192"/>
      <c r="L328" s="192"/>
      <c r="M328" s="75"/>
      <c r="N328" s="2"/>
      <c r="O328" s="2"/>
      <c r="P328" s="2"/>
      <c r="Q328" s="2"/>
      <c r="R328" s="2"/>
    </row>
    <row r="329" spans="1:18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192"/>
      <c r="L329" s="192"/>
      <c r="M329" s="75"/>
      <c r="N329" s="2"/>
      <c r="O329" s="2"/>
      <c r="P329" s="2"/>
      <c r="Q329" s="2"/>
      <c r="R329" s="2"/>
    </row>
    <row r="330" spans="1:18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192"/>
      <c r="L330" s="192"/>
      <c r="M330" s="75"/>
      <c r="N330" s="2"/>
      <c r="O330" s="2"/>
      <c r="P330" s="2"/>
      <c r="Q330" s="2"/>
      <c r="R330" s="2"/>
    </row>
    <row r="331" spans="1:18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192"/>
      <c r="L331" s="192"/>
      <c r="M331" s="75"/>
      <c r="N331" s="2"/>
      <c r="O331" s="2"/>
      <c r="P331" s="2"/>
      <c r="Q331" s="2"/>
      <c r="R331" s="2"/>
    </row>
    <row r="332" spans="1:18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192"/>
      <c r="L332" s="192"/>
      <c r="M332" s="75"/>
      <c r="N332" s="2"/>
      <c r="O332" s="2"/>
      <c r="P332" s="2"/>
      <c r="Q332" s="2"/>
      <c r="R332" s="2"/>
    </row>
    <row r="333" spans="1:18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192"/>
      <c r="L333" s="192"/>
      <c r="M333" s="75"/>
      <c r="N333" s="2"/>
      <c r="O333" s="2"/>
      <c r="P333" s="2"/>
      <c r="Q333" s="2"/>
      <c r="R333" s="2"/>
    </row>
    <row r="334" spans="1:18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192"/>
      <c r="L334" s="192"/>
      <c r="M334" s="75"/>
      <c r="N334" s="2"/>
      <c r="O334" s="2"/>
      <c r="P334" s="2"/>
      <c r="Q334" s="2"/>
      <c r="R334" s="2"/>
    </row>
    <row r="335" spans="1:18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192"/>
      <c r="L335" s="192"/>
      <c r="M335" s="75"/>
      <c r="N335" s="2"/>
      <c r="O335" s="2"/>
      <c r="P335" s="2"/>
      <c r="Q335" s="2"/>
      <c r="R335" s="2"/>
    </row>
    <row r="336" spans="1:18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192"/>
      <c r="L336" s="192"/>
      <c r="M336" s="75"/>
      <c r="N336" s="2"/>
      <c r="O336" s="2"/>
      <c r="P336" s="2"/>
      <c r="Q336" s="2"/>
      <c r="R336" s="2"/>
    </row>
    <row r="337" spans="1:18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192"/>
      <c r="L337" s="192"/>
      <c r="M337" s="75"/>
      <c r="N337" s="2"/>
      <c r="O337" s="2"/>
      <c r="P337" s="2"/>
      <c r="Q337" s="2"/>
      <c r="R337" s="2"/>
    </row>
    <row r="338" spans="1:18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192"/>
      <c r="L338" s="192"/>
      <c r="M338" s="75"/>
      <c r="N338" s="2"/>
      <c r="O338" s="2"/>
      <c r="P338" s="2"/>
      <c r="Q338" s="2"/>
      <c r="R338" s="2"/>
    </row>
    <row r="339" spans="1:18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192"/>
      <c r="L339" s="192"/>
      <c r="M339" s="75"/>
      <c r="N339" s="2"/>
      <c r="O339" s="2"/>
      <c r="P339" s="2"/>
      <c r="Q339" s="2"/>
      <c r="R339" s="2"/>
    </row>
    <row r="340" spans="1:18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192"/>
      <c r="L340" s="192"/>
      <c r="M340" s="75"/>
      <c r="N340" s="2"/>
      <c r="O340" s="2"/>
      <c r="P340" s="2"/>
      <c r="Q340" s="2"/>
      <c r="R340" s="2"/>
    </row>
    <row r="341" spans="1:18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192"/>
      <c r="L341" s="192"/>
      <c r="M341" s="75"/>
      <c r="N341" s="2"/>
      <c r="O341" s="2"/>
      <c r="P341" s="2"/>
      <c r="Q341" s="2"/>
      <c r="R341" s="2"/>
    </row>
    <row r="342" spans="1:18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192"/>
      <c r="L342" s="192"/>
      <c r="M342" s="75"/>
      <c r="N342" s="2"/>
      <c r="O342" s="2"/>
      <c r="P342" s="2"/>
      <c r="Q342" s="2"/>
      <c r="R342" s="2"/>
    </row>
    <row r="343" spans="1:18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192"/>
      <c r="L343" s="192"/>
      <c r="M343" s="75"/>
      <c r="N343" s="2"/>
      <c r="O343" s="2"/>
      <c r="P343" s="2"/>
      <c r="Q343" s="2"/>
      <c r="R343" s="2"/>
    </row>
    <row r="344" spans="1:18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192"/>
      <c r="L344" s="192"/>
      <c r="M344" s="75"/>
      <c r="N344" s="2"/>
      <c r="O344" s="2"/>
      <c r="P344" s="2"/>
      <c r="Q344" s="2"/>
      <c r="R344" s="2"/>
    </row>
    <row r="345" spans="1:18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192"/>
      <c r="L345" s="192"/>
      <c r="M345" s="75"/>
      <c r="N345" s="2"/>
      <c r="O345" s="2"/>
      <c r="P345" s="2"/>
      <c r="Q345" s="2"/>
      <c r="R345" s="2"/>
    </row>
    <row r="346" spans="1:18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192"/>
      <c r="L346" s="192"/>
      <c r="M346" s="75"/>
      <c r="N346" s="2"/>
      <c r="O346" s="2"/>
      <c r="P346" s="2"/>
      <c r="Q346" s="2"/>
      <c r="R346" s="2"/>
    </row>
    <row r="347" spans="1:18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192"/>
      <c r="L347" s="192"/>
      <c r="M347" s="75"/>
      <c r="N347" s="2"/>
      <c r="O347" s="2"/>
      <c r="P347" s="2"/>
      <c r="Q347" s="2"/>
      <c r="R347" s="2"/>
    </row>
    <row r="348" spans="1:18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192"/>
      <c r="L348" s="192"/>
      <c r="M348" s="75"/>
      <c r="N348" s="2"/>
      <c r="O348" s="2"/>
      <c r="P348" s="2"/>
      <c r="Q348" s="2"/>
      <c r="R348" s="2"/>
    </row>
    <row r="349" spans="1:18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192"/>
      <c r="L349" s="192"/>
      <c r="M349" s="75"/>
      <c r="N349" s="2"/>
      <c r="O349" s="2"/>
      <c r="P349" s="2"/>
      <c r="Q349" s="2"/>
      <c r="R349" s="2"/>
    </row>
    <row r="350" spans="1:18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192"/>
      <c r="L350" s="192"/>
      <c r="M350" s="75"/>
      <c r="N350" s="2"/>
      <c r="O350" s="2"/>
      <c r="P350" s="2"/>
      <c r="Q350" s="2"/>
      <c r="R350" s="2"/>
    </row>
    <row r="351" spans="1:18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192"/>
      <c r="L351" s="192"/>
      <c r="M351" s="75"/>
      <c r="N351" s="2"/>
      <c r="O351" s="2"/>
      <c r="P351" s="2"/>
      <c r="Q351" s="2"/>
      <c r="R351" s="2"/>
    </row>
    <row r="352" spans="1:18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192"/>
      <c r="L352" s="192"/>
      <c r="M352" s="75"/>
      <c r="N352" s="2"/>
      <c r="O352" s="2"/>
      <c r="P352" s="2"/>
      <c r="Q352" s="2"/>
      <c r="R352" s="2"/>
    </row>
    <row r="353" spans="1:18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192"/>
      <c r="L353" s="192"/>
      <c r="M353" s="75"/>
      <c r="N353" s="2"/>
      <c r="O353" s="2"/>
      <c r="P353" s="2"/>
      <c r="Q353" s="2"/>
      <c r="R353" s="2"/>
    </row>
    <row r="354" spans="1:18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192"/>
      <c r="L354" s="192"/>
      <c r="M354" s="75"/>
      <c r="N354" s="2"/>
      <c r="O354" s="2"/>
      <c r="P354" s="2"/>
      <c r="Q354" s="2"/>
      <c r="R354" s="2"/>
    </row>
    <row r="355" spans="1:18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192"/>
      <c r="L355" s="192"/>
      <c r="M355" s="75"/>
      <c r="N355" s="2"/>
      <c r="O355" s="2"/>
      <c r="P355" s="2"/>
      <c r="Q355" s="2"/>
      <c r="R355" s="2"/>
    </row>
    <row r="356" spans="1:18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192"/>
      <c r="L356" s="192"/>
      <c r="M356" s="75"/>
      <c r="N356" s="2"/>
      <c r="O356" s="2"/>
      <c r="P356" s="2"/>
      <c r="Q356" s="2"/>
      <c r="R356" s="2"/>
    </row>
    <row r="357" spans="1:18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192"/>
      <c r="L357" s="192"/>
      <c r="M357" s="75"/>
      <c r="N357" s="2"/>
      <c r="O357" s="2"/>
      <c r="P357" s="2"/>
      <c r="Q357" s="2"/>
      <c r="R357" s="2"/>
    </row>
    <row r="358" spans="1:18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192"/>
      <c r="L358" s="192"/>
      <c r="M358" s="75"/>
      <c r="N358" s="2"/>
      <c r="O358" s="2"/>
      <c r="P358" s="2"/>
      <c r="Q358" s="2"/>
      <c r="R358" s="2"/>
    </row>
    <row r="359" spans="1:18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192"/>
      <c r="L359" s="192"/>
      <c r="M359" s="75"/>
      <c r="N359" s="2"/>
      <c r="O359" s="2"/>
      <c r="P359" s="2"/>
      <c r="Q359" s="2"/>
      <c r="R359" s="2"/>
    </row>
    <row r="360" spans="1:18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192"/>
      <c r="L360" s="192"/>
      <c r="M360" s="75"/>
      <c r="N360" s="2"/>
      <c r="O360" s="2"/>
      <c r="P360" s="2"/>
      <c r="Q360" s="2"/>
      <c r="R360" s="2"/>
    </row>
    <row r="361" spans="1:18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192"/>
      <c r="L361" s="192"/>
      <c r="M361" s="75"/>
      <c r="N361" s="2"/>
      <c r="O361" s="2"/>
      <c r="P361" s="2"/>
      <c r="Q361" s="2"/>
      <c r="R361" s="2"/>
    </row>
    <row r="362" spans="1:18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192"/>
      <c r="L362" s="192"/>
      <c r="M362" s="75"/>
      <c r="N362" s="2"/>
      <c r="O362" s="2"/>
      <c r="P362" s="2"/>
      <c r="Q362" s="2"/>
      <c r="R362" s="2"/>
    </row>
    <row r="363" spans="1:18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192"/>
      <c r="L363" s="192"/>
      <c r="M363" s="75"/>
      <c r="N363" s="2"/>
      <c r="O363" s="2"/>
      <c r="P363" s="2"/>
      <c r="Q363" s="2"/>
      <c r="R363" s="2"/>
    </row>
    <row r="364" spans="1:18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192"/>
      <c r="L364" s="192"/>
      <c r="M364" s="75"/>
      <c r="N364" s="2"/>
      <c r="O364" s="2"/>
      <c r="P364" s="2"/>
      <c r="Q364" s="2"/>
      <c r="R364" s="2"/>
    </row>
    <row r="365" spans="1:18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192"/>
      <c r="L365" s="192"/>
      <c r="M365" s="75"/>
      <c r="N365" s="2"/>
      <c r="O365" s="2"/>
      <c r="P365" s="2"/>
      <c r="Q365" s="2"/>
      <c r="R365" s="2"/>
    </row>
    <row r="366" spans="1:18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192"/>
      <c r="L366" s="192"/>
      <c r="M366" s="75"/>
      <c r="N366" s="2"/>
      <c r="O366" s="2"/>
      <c r="P366" s="2"/>
      <c r="Q366" s="2"/>
      <c r="R366" s="2"/>
    </row>
    <row r="367" spans="1:18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192"/>
      <c r="L367" s="192"/>
      <c r="M367" s="75"/>
      <c r="N367" s="2"/>
      <c r="O367" s="2"/>
      <c r="P367" s="2"/>
      <c r="Q367" s="2"/>
      <c r="R367" s="2"/>
    </row>
    <row r="368" spans="1:18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192"/>
      <c r="L368" s="192"/>
      <c r="M368" s="75"/>
      <c r="N368" s="2"/>
      <c r="O368" s="2"/>
      <c r="P368" s="2"/>
      <c r="Q368" s="2"/>
      <c r="R368" s="2"/>
    </row>
    <row r="369" spans="1:18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192"/>
      <c r="L369" s="192"/>
      <c r="M369" s="75"/>
      <c r="N369" s="2"/>
      <c r="O369" s="2"/>
      <c r="P369" s="2"/>
      <c r="Q369" s="2"/>
      <c r="R369" s="2"/>
    </row>
    <row r="370" spans="1:18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192"/>
      <c r="L370" s="192"/>
      <c r="M370" s="75"/>
      <c r="N370" s="2"/>
      <c r="O370" s="2"/>
      <c r="P370" s="2"/>
      <c r="Q370" s="2"/>
      <c r="R370" s="2"/>
    </row>
    <row r="371" spans="1:18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192"/>
      <c r="L371" s="192"/>
      <c r="M371" s="75"/>
      <c r="N371" s="2"/>
      <c r="O371" s="2"/>
      <c r="P371" s="2"/>
      <c r="Q371" s="2"/>
      <c r="R371" s="2"/>
    </row>
    <row r="372" spans="1:18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192"/>
      <c r="L372" s="192"/>
      <c r="M372" s="75"/>
      <c r="N372" s="2"/>
      <c r="O372" s="2"/>
      <c r="P372" s="2"/>
      <c r="Q372" s="2"/>
      <c r="R372" s="2"/>
    </row>
    <row r="373" spans="1:18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192"/>
      <c r="L373" s="192"/>
      <c r="M373" s="75"/>
      <c r="N373" s="2"/>
      <c r="O373" s="2"/>
      <c r="P373" s="2"/>
      <c r="Q373" s="2"/>
      <c r="R373" s="2"/>
    </row>
    <row r="374" spans="1:18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192"/>
      <c r="L374" s="192"/>
      <c r="M374" s="75"/>
      <c r="N374" s="2"/>
      <c r="O374" s="2"/>
      <c r="P374" s="2"/>
      <c r="Q374" s="2"/>
      <c r="R374" s="2"/>
    </row>
    <row r="375" spans="1:18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192"/>
      <c r="L375" s="192"/>
      <c r="M375" s="75"/>
      <c r="N375" s="2"/>
      <c r="O375" s="2"/>
      <c r="P375" s="2"/>
      <c r="Q375" s="2"/>
      <c r="R375" s="2"/>
    </row>
    <row r="376" spans="1:18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192"/>
      <c r="L376" s="192"/>
      <c r="M376" s="75"/>
      <c r="N376" s="2"/>
      <c r="O376" s="2"/>
      <c r="P376" s="2"/>
      <c r="Q376" s="2"/>
      <c r="R376" s="2"/>
    </row>
    <row r="377" spans="1:18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192"/>
      <c r="L377" s="192"/>
      <c r="M377" s="75"/>
      <c r="N377" s="2"/>
      <c r="O377" s="2"/>
      <c r="P377" s="2"/>
      <c r="Q377" s="2"/>
      <c r="R377" s="2"/>
    </row>
    <row r="378" spans="1:18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192"/>
      <c r="L378" s="192"/>
      <c r="M378" s="75"/>
      <c r="N378" s="2"/>
      <c r="O378" s="2"/>
      <c r="P378" s="2"/>
      <c r="Q378" s="2"/>
      <c r="R378" s="2"/>
    </row>
    <row r="379" spans="1:18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192"/>
      <c r="L379" s="192"/>
      <c r="M379" s="75"/>
      <c r="N379" s="2"/>
      <c r="O379" s="2"/>
      <c r="P379" s="2"/>
      <c r="Q379" s="2"/>
      <c r="R379" s="2"/>
    </row>
    <row r="380" spans="1:18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192"/>
      <c r="L380" s="192"/>
      <c r="M380" s="75"/>
      <c r="N380" s="2"/>
      <c r="O380" s="2"/>
      <c r="P380" s="2"/>
      <c r="Q380" s="2"/>
      <c r="R380" s="2"/>
    </row>
    <row r="381" spans="1:18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192"/>
      <c r="L381" s="192"/>
      <c r="M381" s="75"/>
      <c r="N381" s="2"/>
      <c r="O381" s="2"/>
      <c r="P381" s="2"/>
      <c r="Q381" s="2"/>
      <c r="R381" s="2"/>
    </row>
    <row r="382" spans="1:18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192"/>
      <c r="L382" s="192"/>
      <c r="M382" s="75"/>
      <c r="N382" s="2"/>
      <c r="O382" s="2"/>
      <c r="P382" s="2"/>
      <c r="Q382" s="2"/>
      <c r="R382" s="2"/>
    </row>
    <row r="383" spans="1:18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192"/>
      <c r="L383" s="192"/>
      <c r="M383" s="75"/>
      <c r="N383" s="2"/>
      <c r="O383" s="2"/>
      <c r="P383" s="2"/>
      <c r="Q383" s="2"/>
      <c r="R383" s="2"/>
    </row>
    <row r="384" spans="1:18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192"/>
      <c r="L384" s="192"/>
      <c r="M384" s="75"/>
      <c r="N384" s="2"/>
      <c r="O384" s="2"/>
      <c r="P384" s="2"/>
      <c r="Q384" s="2"/>
      <c r="R384" s="2"/>
    </row>
    <row r="385" spans="1:18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192"/>
      <c r="L385" s="192"/>
      <c r="M385" s="75"/>
      <c r="N385" s="2"/>
      <c r="O385" s="2"/>
      <c r="P385" s="2"/>
      <c r="Q385" s="2"/>
      <c r="R385" s="2"/>
    </row>
    <row r="386" spans="1:18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192"/>
      <c r="L386" s="192"/>
      <c r="M386" s="75"/>
      <c r="N386" s="2"/>
      <c r="O386" s="2"/>
      <c r="P386" s="2"/>
      <c r="Q386" s="2"/>
      <c r="R386" s="2"/>
    </row>
    <row r="387" spans="1:18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192"/>
      <c r="L387" s="192"/>
      <c r="M387" s="75"/>
      <c r="N387" s="2"/>
      <c r="O387" s="2"/>
      <c r="P387" s="2"/>
      <c r="Q387" s="2"/>
      <c r="R387" s="2"/>
    </row>
    <row r="388" spans="1:18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192"/>
      <c r="L388" s="192"/>
      <c r="M388" s="75"/>
      <c r="N388" s="2"/>
      <c r="O388" s="2"/>
      <c r="P388" s="2"/>
      <c r="Q388" s="2"/>
      <c r="R388" s="2"/>
    </row>
    <row r="389" spans="1:18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192"/>
      <c r="L389" s="192"/>
      <c r="M389" s="75"/>
      <c r="N389" s="2"/>
      <c r="O389" s="2"/>
      <c r="P389" s="2"/>
      <c r="Q389" s="2"/>
      <c r="R389" s="2"/>
    </row>
    <row r="390" spans="1:18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192"/>
      <c r="L390" s="192"/>
      <c r="M390" s="75"/>
      <c r="N390" s="2"/>
      <c r="O390" s="2"/>
      <c r="P390" s="2"/>
      <c r="Q390" s="2"/>
      <c r="R390" s="2"/>
    </row>
    <row r="391" spans="1:18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192"/>
      <c r="L391" s="192"/>
      <c r="M391" s="75"/>
      <c r="N391" s="2"/>
      <c r="O391" s="2"/>
      <c r="P391" s="2"/>
      <c r="Q391" s="2"/>
      <c r="R391" s="2"/>
    </row>
    <row r="392" spans="1:18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192"/>
      <c r="L392" s="192"/>
      <c r="M392" s="75"/>
      <c r="N392" s="2"/>
      <c r="O392" s="2"/>
      <c r="P392" s="2"/>
      <c r="Q392" s="2"/>
      <c r="R392" s="2"/>
    </row>
    <row r="393" spans="1:18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192"/>
      <c r="L393" s="192"/>
      <c r="M393" s="75"/>
      <c r="N393" s="2"/>
      <c r="O393" s="2"/>
      <c r="P393" s="2"/>
      <c r="Q393" s="2"/>
      <c r="R393" s="2"/>
    </row>
    <row r="394" spans="1:18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192"/>
      <c r="L394" s="192"/>
      <c r="M394" s="75"/>
      <c r="N394" s="2"/>
      <c r="O394" s="2"/>
      <c r="P394" s="2"/>
      <c r="Q394" s="2"/>
      <c r="R394" s="2"/>
    </row>
    <row r="395" spans="1:18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192"/>
      <c r="L395" s="192"/>
      <c r="M395" s="75"/>
      <c r="N395" s="2"/>
      <c r="O395" s="2"/>
      <c r="P395" s="2"/>
      <c r="Q395" s="2"/>
      <c r="R395" s="2"/>
    </row>
    <row r="396" spans="1:18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192"/>
      <c r="L396" s="192"/>
      <c r="M396" s="75"/>
      <c r="N396" s="2"/>
      <c r="O396" s="2"/>
      <c r="P396" s="2"/>
      <c r="Q396" s="2"/>
      <c r="R396" s="2"/>
    </row>
    <row r="397" spans="1:18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192"/>
      <c r="L397" s="192"/>
      <c r="M397" s="75"/>
      <c r="N397" s="2"/>
      <c r="O397" s="2"/>
      <c r="P397" s="2"/>
      <c r="Q397" s="2"/>
      <c r="R397" s="2"/>
    </row>
    <row r="398" spans="1:18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192"/>
      <c r="L398" s="192"/>
      <c r="M398" s="75"/>
      <c r="N398" s="2"/>
      <c r="O398" s="2"/>
      <c r="P398" s="2"/>
      <c r="Q398" s="2"/>
      <c r="R398" s="2"/>
    </row>
    <row r="399" spans="1:18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192"/>
      <c r="L399" s="192"/>
      <c r="M399" s="75"/>
      <c r="N399" s="2"/>
      <c r="O399" s="2"/>
      <c r="P399" s="2"/>
      <c r="Q399" s="2"/>
      <c r="R399" s="2"/>
    </row>
    <row r="400" spans="1:18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192"/>
      <c r="L400" s="192"/>
      <c r="M400" s="75"/>
      <c r="N400" s="2"/>
      <c r="O400" s="2"/>
      <c r="P400" s="2"/>
      <c r="Q400" s="2"/>
      <c r="R400" s="2"/>
    </row>
    <row r="401" spans="1:18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192"/>
      <c r="L401" s="192"/>
      <c r="M401" s="75"/>
      <c r="N401" s="2"/>
      <c r="O401" s="2"/>
      <c r="P401" s="2"/>
      <c r="Q401" s="2"/>
      <c r="R401" s="2"/>
    </row>
    <row r="402" spans="1:18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192"/>
      <c r="L402" s="192"/>
      <c r="M402" s="75"/>
      <c r="N402" s="2"/>
      <c r="O402" s="2"/>
      <c r="P402" s="2"/>
      <c r="Q402" s="2"/>
      <c r="R402" s="2"/>
    </row>
    <row r="403" spans="1:18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192"/>
      <c r="L403" s="192"/>
      <c r="M403" s="75"/>
      <c r="N403" s="2"/>
      <c r="O403" s="2"/>
      <c r="P403" s="2"/>
      <c r="Q403" s="2"/>
      <c r="R403" s="2"/>
    </row>
    <row r="404" spans="1:18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192"/>
      <c r="L404" s="192"/>
      <c r="M404" s="75"/>
      <c r="N404" s="2"/>
      <c r="O404" s="2"/>
      <c r="P404" s="2"/>
      <c r="Q404" s="2"/>
      <c r="R404" s="2"/>
    </row>
    <row r="405" spans="1:18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192"/>
      <c r="L405" s="192"/>
      <c r="M405" s="75"/>
      <c r="N405" s="2"/>
      <c r="O405" s="2"/>
      <c r="P405" s="2"/>
      <c r="Q405" s="2"/>
      <c r="R405" s="2"/>
    </row>
    <row r="406" spans="1:18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192"/>
      <c r="L406" s="192"/>
      <c r="M406" s="75"/>
      <c r="N406" s="2"/>
      <c r="O406" s="2"/>
      <c r="P406" s="2"/>
      <c r="Q406" s="2"/>
      <c r="R406" s="2"/>
    </row>
    <row r="407" spans="1:18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192"/>
      <c r="L407" s="192"/>
      <c r="M407" s="75"/>
      <c r="N407" s="2"/>
      <c r="O407" s="2"/>
      <c r="P407" s="2"/>
      <c r="Q407" s="2"/>
      <c r="R407" s="2"/>
    </row>
    <row r="408" spans="1:18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192"/>
      <c r="L408" s="192"/>
      <c r="M408" s="75"/>
      <c r="N408" s="2"/>
      <c r="O408" s="2"/>
      <c r="P408" s="2"/>
      <c r="Q408" s="2"/>
      <c r="R408" s="2"/>
    </row>
    <row r="409" spans="1:18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192"/>
      <c r="L409" s="192"/>
      <c r="M409" s="75"/>
      <c r="N409" s="2"/>
      <c r="O409" s="2"/>
      <c r="P409" s="2"/>
      <c r="Q409" s="2"/>
      <c r="R409" s="2"/>
    </row>
    <row r="410" spans="1:18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192"/>
      <c r="L410" s="192"/>
      <c r="M410" s="75"/>
      <c r="N410" s="2"/>
      <c r="O410" s="2"/>
      <c r="P410" s="2"/>
      <c r="Q410" s="2"/>
      <c r="R410" s="2"/>
    </row>
    <row r="411" spans="1:18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192"/>
      <c r="L411" s="192"/>
      <c r="M411" s="75"/>
      <c r="N411" s="2"/>
      <c r="O411" s="2"/>
      <c r="P411" s="2"/>
      <c r="Q411" s="2"/>
      <c r="R411" s="2"/>
    </row>
    <row r="412" spans="1:18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192"/>
      <c r="L412" s="192"/>
      <c r="M412" s="75"/>
      <c r="N412" s="2"/>
      <c r="O412" s="2"/>
      <c r="P412" s="2"/>
      <c r="Q412" s="2"/>
      <c r="R412" s="2"/>
    </row>
    <row r="413" spans="1:18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192"/>
      <c r="L413" s="192"/>
      <c r="M413" s="75"/>
      <c r="N413" s="2"/>
      <c r="O413" s="2"/>
      <c r="P413" s="2"/>
      <c r="Q413" s="2"/>
      <c r="R413" s="2"/>
    </row>
    <row r="414" spans="1:18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192"/>
      <c r="L414" s="192"/>
      <c r="M414" s="75"/>
      <c r="N414" s="2"/>
      <c r="O414" s="2"/>
      <c r="P414" s="2"/>
      <c r="Q414" s="2"/>
      <c r="R414" s="2"/>
    </row>
    <row r="415" spans="1:18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192"/>
      <c r="L415" s="192"/>
      <c r="M415" s="75"/>
      <c r="N415" s="2"/>
      <c r="O415" s="2"/>
      <c r="P415" s="2"/>
      <c r="Q415" s="2"/>
      <c r="R415" s="2"/>
    </row>
    <row r="416" spans="1:18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192"/>
      <c r="L416" s="192"/>
      <c r="M416" s="75"/>
      <c r="N416" s="2"/>
      <c r="O416" s="2"/>
      <c r="P416" s="2"/>
      <c r="Q416" s="2"/>
      <c r="R416" s="2"/>
    </row>
    <row r="417" spans="1:18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192"/>
      <c r="L417" s="192"/>
      <c r="M417" s="75"/>
      <c r="N417" s="2"/>
      <c r="O417" s="2"/>
      <c r="P417" s="2"/>
      <c r="Q417" s="2"/>
      <c r="R417" s="2"/>
    </row>
    <row r="418" spans="1:18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192"/>
      <c r="L418" s="192"/>
      <c r="M418" s="75"/>
      <c r="N418" s="2"/>
      <c r="O418" s="2"/>
      <c r="P418" s="2"/>
      <c r="Q418" s="2"/>
      <c r="R418" s="2"/>
    </row>
    <row r="419" spans="1:18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192"/>
      <c r="L419" s="192"/>
      <c r="M419" s="75"/>
      <c r="N419" s="2"/>
      <c r="O419" s="2"/>
      <c r="P419" s="2"/>
      <c r="Q419" s="2"/>
      <c r="R419" s="2"/>
    </row>
    <row r="420" spans="1:18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192"/>
      <c r="L420" s="192"/>
      <c r="M420" s="75"/>
      <c r="N420" s="2"/>
      <c r="O420" s="2"/>
      <c r="P420" s="2"/>
      <c r="Q420" s="2"/>
      <c r="R420" s="2"/>
    </row>
    <row r="421" spans="1:18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192"/>
      <c r="L421" s="192"/>
      <c r="M421" s="75"/>
      <c r="N421" s="2"/>
      <c r="O421" s="2"/>
      <c r="P421" s="2"/>
      <c r="Q421" s="2"/>
      <c r="R421" s="2"/>
    </row>
    <row r="422" spans="1:18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192"/>
      <c r="L422" s="192"/>
      <c r="M422" s="75"/>
      <c r="N422" s="2"/>
      <c r="O422" s="2"/>
      <c r="P422" s="2"/>
      <c r="Q422" s="2"/>
      <c r="R422" s="2"/>
    </row>
    <row r="423" spans="1:18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192"/>
      <c r="L423" s="192"/>
      <c r="M423" s="75"/>
      <c r="N423" s="2"/>
      <c r="O423" s="2"/>
      <c r="P423" s="2"/>
      <c r="Q423" s="2"/>
      <c r="R423" s="2"/>
    </row>
    <row r="424" spans="1:18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192"/>
      <c r="L424" s="192"/>
      <c r="M424" s="75"/>
      <c r="N424" s="2"/>
      <c r="O424" s="2"/>
      <c r="P424" s="2"/>
      <c r="Q424" s="2"/>
      <c r="R424" s="2"/>
    </row>
    <row r="425" spans="1:18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192"/>
      <c r="L425" s="192"/>
      <c r="M425" s="75"/>
      <c r="N425" s="2"/>
      <c r="O425" s="2"/>
      <c r="P425" s="2"/>
      <c r="Q425" s="2"/>
      <c r="R425" s="2"/>
    </row>
    <row r="426" spans="1:18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192"/>
      <c r="L426" s="192"/>
      <c r="M426" s="75"/>
      <c r="N426" s="2"/>
      <c r="O426" s="2"/>
      <c r="P426" s="2"/>
      <c r="Q426" s="2"/>
      <c r="R426" s="2"/>
    </row>
  </sheetData>
  <phoneticPr fontId="0" type="noConversion"/>
  <printOptions horizontalCentered="1"/>
  <pageMargins left="0.45" right="0.25" top="0.31944444444444398" bottom="0.2" header="0.5" footer="0.5"/>
  <pageSetup scale="65" orientation="landscape" r:id="rId1"/>
  <headerFooter alignWithMargins="0"/>
  <rowBreaks count="3" manualBreakCount="3">
    <brk id="51" max="12" man="1"/>
    <brk id="95" max="12" man="1"/>
    <brk id="139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50"/>
  <sheetViews>
    <sheetView showOutlineSymbols="0" zoomScaleNormal="100" workbookViewId="0">
      <selection activeCell="A4" sqref="A4"/>
    </sheetView>
  </sheetViews>
  <sheetFormatPr defaultColWidth="9.6640625" defaultRowHeight="15" x14ac:dyDescent="0.2"/>
  <cols>
    <col min="1" max="1" width="10.21875" style="80" customWidth="1"/>
    <col min="2" max="2" width="9.77734375" style="80" customWidth="1"/>
    <col min="3" max="3" width="16.109375" style="80" customWidth="1"/>
    <col min="4" max="4" width="26.21875" style="80" customWidth="1"/>
    <col min="5" max="6" width="13.6640625" style="80" customWidth="1"/>
    <col min="7" max="7" width="16" style="80" customWidth="1"/>
    <col min="8" max="8" width="12.44140625" style="80" customWidth="1"/>
    <col min="9" max="9" width="15.44140625" style="80" customWidth="1"/>
    <col min="10" max="10" width="14.6640625" style="80" customWidth="1"/>
    <col min="11" max="11" width="11.5546875" style="80" customWidth="1"/>
    <col min="12" max="12" width="12.77734375" style="80" customWidth="1"/>
    <col min="13" max="13" width="14.5546875" style="80" customWidth="1"/>
    <col min="14" max="14" width="9.44140625" style="80" customWidth="1"/>
    <col min="15" max="15" width="13.88671875" style="80" customWidth="1"/>
    <col min="16" max="16" width="3.77734375" style="80" customWidth="1"/>
    <col min="17" max="16384" width="9.6640625" style="80"/>
  </cols>
  <sheetData>
    <row r="1" spans="1:16" ht="23.25" x14ac:dyDescent="0.35">
      <c r="A1" s="78" t="s">
        <v>0</v>
      </c>
      <c r="B1" s="78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6" ht="23.25" x14ac:dyDescent="0.35">
      <c r="A2" s="78" t="s">
        <v>21</v>
      </c>
      <c r="B2" s="78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1:16" ht="23.25" x14ac:dyDescent="0.35">
      <c r="A3" s="282" t="s">
        <v>74</v>
      </c>
      <c r="B3" s="78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</row>
    <row r="4" spans="1:16" ht="23.25" x14ac:dyDescent="0.35">
      <c r="A4" s="78"/>
      <c r="B4" s="78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</row>
    <row r="5" spans="1:16" ht="24" thickBot="1" x14ac:dyDescent="0.4">
      <c r="A5" s="78" t="s">
        <v>22</v>
      </c>
      <c r="B5" s="78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</row>
    <row r="6" spans="1:16" ht="16.5" thickTop="1" x14ac:dyDescent="0.25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2" t="s">
        <v>23</v>
      </c>
      <c r="P6" s="83"/>
    </row>
    <row r="7" spans="1:16" ht="15.75" x14ac:dyDescent="0.25">
      <c r="A7" s="105" t="s">
        <v>24</v>
      </c>
      <c r="B7" s="84" t="s">
        <v>13</v>
      </c>
      <c r="C7" s="84" t="s">
        <v>15</v>
      </c>
      <c r="D7" s="84" t="s">
        <v>64</v>
      </c>
      <c r="E7" s="275" t="s">
        <v>56</v>
      </c>
      <c r="F7" s="84" t="s">
        <v>62</v>
      </c>
      <c r="G7" s="84" t="s">
        <v>65</v>
      </c>
      <c r="H7" s="84" t="s">
        <v>71</v>
      </c>
      <c r="I7" s="84" t="s">
        <v>52</v>
      </c>
      <c r="J7" s="84" t="s">
        <v>25</v>
      </c>
      <c r="K7" s="84" t="s">
        <v>53</v>
      </c>
      <c r="L7" s="84" t="s">
        <v>50</v>
      </c>
      <c r="M7" s="84" t="s">
        <v>17</v>
      </c>
      <c r="N7" s="84" t="s">
        <v>51</v>
      </c>
      <c r="O7" s="84" t="s">
        <v>26</v>
      </c>
      <c r="P7" s="83"/>
    </row>
    <row r="8" spans="1:16" ht="16.5" thickBot="1" x14ac:dyDescent="0.3">
      <c r="A8" s="85"/>
      <c r="B8" s="85"/>
      <c r="C8" s="85"/>
      <c r="D8" s="85"/>
      <c r="E8" s="276"/>
      <c r="F8" s="85"/>
      <c r="G8" s="85"/>
      <c r="H8" s="85"/>
      <c r="I8" s="85"/>
      <c r="J8" s="85"/>
      <c r="K8" s="85"/>
      <c r="L8" s="85"/>
      <c r="M8" s="85"/>
      <c r="N8" s="85"/>
      <c r="O8" s="85"/>
      <c r="P8" s="83"/>
    </row>
    <row r="9" spans="1:16" ht="15.75" thickTop="1" x14ac:dyDescent="0.2">
      <c r="A9" s="86"/>
      <c r="B9" s="86"/>
      <c r="C9" s="86"/>
      <c r="D9" s="86"/>
      <c r="E9" s="87"/>
      <c r="F9" s="87"/>
      <c r="G9" s="87"/>
      <c r="H9" s="87"/>
      <c r="I9" s="87"/>
      <c r="J9" s="86"/>
      <c r="K9" s="86"/>
      <c r="L9" s="86"/>
      <c r="M9" s="86"/>
      <c r="N9" s="86"/>
      <c r="O9" s="86"/>
      <c r="P9" s="83"/>
    </row>
    <row r="10" spans="1:16" ht="15.75" x14ac:dyDescent="0.25">
      <c r="A10" s="88">
        <f>DATE(2021,7,1)</f>
        <v>44378</v>
      </c>
      <c r="B10" s="89">
        <f>'MONTHLY STATS'!$C$9*2</f>
        <v>465606</v>
      </c>
      <c r="C10" s="89">
        <f>'MONTHLY STATS'!$C$20*2</f>
        <v>232214</v>
      </c>
      <c r="D10" s="89">
        <f>'MONTHLY STATS'!$C$31*2</f>
        <v>133674</v>
      </c>
      <c r="E10" s="89">
        <f>'MONTHLY STATS'!$C$42*2</f>
        <v>674450</v>
      </c>
      <c r="F10" s="89">
        <f>'MONTHLY STATS'!$C$53*2</f>
        <v>512458</v>
      </c>
      <c r="G10" s="89">
        <f>'MONTHLY STATS'!$C$64*2</f>
        <v>208586</v>
      </c>
      <c r="H10" s="89">
        <f>'MONTHLY STATS'!$C$75*2</f>
        <v>449386</v>
      </c>
      <c r="I10" s="89">
        <f>'MONTHLY STATS'!$C$86*2</f>
        <v>502180</v>
      </c>
      <c r="J10" s="89">
        <f>'MONTHLY STATS'!$C$97*2</f>
        <v>585252</v>
      </c>
      <c r="K10" s="89">
        <f>'MONTHLY STATS'!$C$108*2</f>
        <v>677802</v>
      </c>
      <c r="L10" s="89">
        <f>'MONTHLY STATS'!$C$119*2</f>
        <v>109046</v>
      </c>
      <c r="M10" s="89">
        <f>'MONTHLY STATS'!$C$130*2</f>
        <v>790810</v>
      </c>
      <c r="N10" s="89">
        <f>'MONTHLY STATS'!$C$141*2</f>
        <v>141054</v>
      </c>
      <c r="O10" s="90">
        <f t="shared" ref="O10:O15" si="0">SUM(B10:N10)</f>
        <v>5482518</v>
      </c>
      <c r="P10" s="83"/>
    </row>
    <row r="11" spans="1:16" ht="15.75" x14ac:dyDescent="0.25">
      <c r="A11" s="88">
        <f>DATE(2021,8,1)</f>
        <v>44409</v>
      </c>
      <c r="B11" s="89">
        <f>'MONTHLY STATS'!$C$10*2</f>
        <v>449698</v>
      </c>
      <c r="C11" s="89">
        <f>'MONTHLY STATS'!$C$21*2</f>
        <v>206706</v>
      </c>
      <c r="D11" s="89">
        <f>'MONTHLY STATS'!$C$32*2</f>
        <v>112224</v>
      </c>
      <c r="E11" s="89">
        <f>'MONTHLY STATS'!$C$43*2</f>
        <v>604600</v>
      </c>
      <c r="F11" s="89">
        <f>'MONTHLY STATS'!$C$54*2</f>
        <v>465706</v>
      </c>
      <c r="G11" s="89">
        <f>'MONTHLY STATS'!$C$65*2</f>
        <v>186244</v>
      </c>
      <c r="H11" s="89">
        <f>'MONTHLY STATS'!$C$76*2</f>
        <v>507374</v>
      </c>
      <c r="I11" s="89">
        <f>'MONTHLY STATS'!$C$87*2</f>
        <v>430958</v>
      </c>
      <c r="J11" s="89">
        <f>'MONTHLY STATS'!$C$98*2</f>
        <v>505624</v>
      </c>
      <c r="K11" s="89">
        <f>'MONTHLY STATS'!$C$109*2</f>
        <v>631006</v>
      </c>
      <c r="L11" s="89">
        <f>'MONTHLY STATS'!$C$120*2</f>
        <v>95368</v>
      </c>
      <c r="M11" s="89">
        <f>'MONTHLY STATS'!$C$131*2</f>
        <v>720244</v>
      </c>
      <c r="N11" s="89">
        <f>'MONTHLY STATS'!$C$142*2</f>
        <v>139832</v>
      </c>
      <c r="O11" s="90">
        <f t="shared" si="0"/>
        <v>5055584</v>
      </c>
      <c r="P11" s="83"/>
    </row>
    <row r="12" spans="1:16" ht="15.75" x14ac:dyDescent="0.25">
      <c r="A12" s="88">
        <f>DATE(2021,9,1)</f>
        <v>44440</v>
      </c>
      <c r="B12" s="89">
        <f>'MONTHLY STATS'!$C$11*2</f>
        <v>412100</v>
      </c>
      <c r="C12" s="89">
        <f>'MONTHLY STATS'!$C$22*2</f>
        <v>207192</v>
      </c>
      <c r="D12" s="89">
        <f>'MONTHLY STATS'!$C$33*2</f>
        <v>116168</v>
      </c>
      <c r="E12" s="89">
        <f>'MONTHLY STATS'!$C$44*2</f>
        <v>672284</v>
      </c>
      <c r="F12" s="89">
        <f>'MONTHLY STATS'!$C$55*2</f>
        <v>448838</v>
      </c>
      <c r="G12" s="89">
        <f>'MONTHLY STATS'!$C$66*2</f>
        <v>184408</v>
      </c>
      <c r="H12" s="89">
        <f>'MONTHLY STATS'!$C$77*2</f>
        <v>471842</v>
      </c>
      <c r="I12" s="89">
        <f>'MONTHLY STATS'!$C$88*2</f>
        <v>427862</v>
      </c>
      <c r="J12" s="89">
        <f>'MONTHLY STATS'!$C$99*2</f>
        <v>491984</v>
      </c>
      <c r="K12" s="89">
        <f>'MONTHLY STATS'!$C$110*2</f>
        <v>658594</v>
      </c>
      <c r="L12" s="89">
        <f>'MONTHLY STATS'!$C$121*2</f>
        <v>94578</v>
      </c>
      <c r="M12" s="89">
        <f>'MONTHLY STATS'!$C$132*2</f>
        <v>706578</v>
      </c>
      <c r="N12" s="89">
        <f>'MONTHLY STATS'!$C$143*2</f>
        <v>133800</v>
      </c>
      <c r="O12" s="90">
        <f t="shared" si="0"/>
        <v>5026228</v>
      </c>
      <c r="P12" s="83"/>
    </row>
    <row r="13" spans="1:16" ht="15.75" x14ac:dyDescent="0.25">
      <c r="A13" s="88">
        <f>DATE(2021,10,1)</f>
        <v>44470</v>
      </c>
      <c r="B13" s="89">
        <f>'MONTHLY STATS'!$C$12*2</f>
        <v>439076</v>
      </c>
      <c r="C13" s="89">
        <f>'MONTHLY STATS'!$C$23*2</f>
        <v>220158</v>
      </c>
      <c r="D13" s="89">
        <f>'MONTHLY STATS'!$C$34*2</f>
        <v>115720</v>
      </c>
      <c r="E13" s="89">
        <f>'MONTHLY STATS'!$C$45*2</f>
        <v>667614</v>
      </c>
      <c r="F13" s="89">
        <f>'MONTHLY STATS'!$C$56*2</f>
        <v>463784</v>
      </c>
      <c r="G13" s="89">
        <f>'MONTHLY STATS'!$C$67*2</f>
        <v>186650</v>
      </c>
      <c r="H13" s="89">
        <f>'MONTHLY STATS'!$C$78*2</f>
        <v>443600</v>
      </c>
      <c r="I13" s="89">
        <f>'MONTHLY STATS'!$C$89*2</f>
        <v>425830</v>
      </c>
      <c r="J13" s="89">
        <f>'MONTHLY STATS'!$C$100*2</f>
        <v>531886</v>
      </c>
      <c r="K13" s="89">
        <f>'MONTHLY STATS'!$C$111*2</f>
        <v>686336</v>
      </c>
      <c r="L13" s="89">
        <f>'MONTHLY STATS'!$C$122*2</f>
        <v>102038</v>
      </c>
      <c r="M13" s="89">
        <f>'MONTHLY STATS'!$C$133*2</f>
        <v>728908</v>
      </c>
      <c r="N13" s="89">
        <f>'MONTHLY STATS'!$C$144*2</f>
        <v>142082</v>
      </c>
      <c r="O13" s="90">
        <f t="shared" si="0"/>
        <v>5153682</v>
      </c>
      <c r="P13" s="83"/>
    </row>
    <row r="14" spans="1:16" ht="15.75" x14ac:dyDescent="0.25">
      <c r="A14" s="88">
        <f>DATE(2021,11,1)</f>
        <v>44501</v>
      </c>
      <c r="B14" s="89">
        <f>'MONTHLY STATS'!$C$13*2</f>
        <v>402662</v>
      </c>
      <c r="C14" s="89">
        <f>'MONTHLY STATS'!$C$24*2</f>
        <v>190628</v>
      </c>
      <c r="D14" s="89">
        <f>'MONTHLY STATS'!$C$35*2</f>
        <v>103506</v>
      </c>
      <c r="E14" s="89">
        <f>'MONTHLY STATS'!$C$46*2</f>
        <v>606872</v>
      </c>
      <c r="F14" s="89">
        <f>'MONTHLY STATS'!$C$57*2</f>
        <v>439354</v>
      </c>
      <c r="G14" s="89">
        <f>'MONTHLY STATS'!$C$68*2</f>
        <v>175200</v>
      </c>
      <c r="H14" s="89">
        <f>'MONTHLY STATS'!$C$79*2</f>
        <v>404266</v>
      </c>
      <c r="I14" s="89">
        <f>'MONTHLY STATS'!$C$90*2</f>
        <v>368842</v>
      </c>
      <c r="J14" s="89">
        <f>'MONTHLY STATS'!$C$101*2</f>
        <v>503654</v>
      </c>
      <c r="K14" s="89">
        <f>'MONTHLY STATS'!$C$112*2</f>
        <v>638286</v>
      </c>
      <c r="L14" s="89">
        <f>'MONTHLY STATS'!$C$123*2</f>
        <v>85956</v>
      </c>
      <c r="M14" s="89">
        <f>'MONTHLY STATS'!$C$134*2</f>
        <v>686470</v>
      </c>
      <c r="N14" s="89">
        <f>'MONTHLY STATS'!$C$145*2</f>
        <v>127076</v>
      </c>
      <c r="O14" s="90">
        <f t="shared" si="0"/>
        <v>4732772</v>
      </c>
      <c r="P14" s="83"/>
    </row>
    <row r="15" spans="1:16" ht="15.75" x14ac:dyDescent="0.25">
      <c r="A15" s="88">
        <f>DATE(2021,12,1)</f>
        <v>44531</v>
      </c>
      <c r="B15" s="89">
        <f>'MONTHLY STATS'!$C$14*2</f>
        <v>425362</v>
      </c>
      <c r="C15" s="89">
        <f>'MONTHLY STATS'!$C$25*2</f>
        <v>209106</v>
      </c>
      <c r="D15" s="89">
        <f>'MONTHLY STATS'!$C$36*2</f>
        <v>114218</v>
      </c>
      <c r="E15" s="89">
        <f>'MONTHLY STATS'!$C$47*2</f>
        <v>627794</v>
      </c>
      <c r="F15" s="89">
        <f>'MONTHLY STATS'!$C$58*2</f>
        <v>466760</v>
      </c>
      <c r="G15" s="89">
        <f>'MONTHLY STATS'!$C$69*2</f>
        <v>195630</v>
      </c>
      <c r="H15" s="89">
        <f>'MONTHLY STATS'!$C$80*2</f>
        <v>411716</v>
      </c>
      <c r="I15" s="89">
        <f>'MONTHLY STATS'!$C$91*2</f>
        <v>422928</v>
      </c>
      <c r="J15" s="89">
        <f>'MONTHLY STATS'!$C$102*2</f>
        <v>536030</v>
      </c>
      <c r="K15" s="89">
        <f>'MONTHLY STATS'!$C$113*2</f>
        <v>675412</v>
      </c>
      <c r="L15" s="89">
        <f>'MONTHLY STATS'!$C$124*2</f>
        <v>93464</v>
      </c>
      <c r="M15" s="89">
        <f>'MONTHLY STATS'!$C$135*2</f>
        <v>759448</v>
      </c>
      <c r="N15" s="89">
        <f>'MONTHLY STATS'!$C$146*2</f>
        <v>139522</v>
      </c>
      <c r="O15" s="90">
        <f t="shared" si="0"/>
        <v>5077390</v>
      </c>
      <c r="P15" s="83"/>
    </row>
    <row r="16" spans="1:16" ht="15.75" x14ac:dyDescent="0.25">
      <c r="A16" s="88">
        <f>DATE(2022,1,1)</f>
        <v>44562</v>
      </c>
      <c r="B16" s="89">
        <f>'MONTHLY STATS'!$C$15*2</f>
        <v>367126</v>
      </c>
      <c r="C16" s="89">
        <f>'MONTHLY STATS'!$C$26*2</f>
        <v>171746</v>
      </c>
      <c r="D16" s="89">
        <f>'MONTHLY STATS'!$C$37*2</f>
        <v>94542</v>
      </c>
      <c r="E16" s="89">
        <f>'MONTHLY STATS'!$C$48*2</f>
        <v>568630</v>
      </c>
      <c r="F16" s="89">
        <f>'MONTHLY STATS'!$C$59*2</f>
        <v>392450</v>
      </c>
      <c r="G16" s="89">
        <f>'MONTHLY STATS'!$C$70*2</f>
        <v>168356</v>
      </c>
      <c r="H16" s="89">
        <f>'MONTHLY STATS'!$C$81*2</f>
        <v>358398</v>
      </c>
      <c r="I16" s="89">
        <f>'MONTHLY STATS'!$C$92*2</f>
        <v>368476</v>
      </c>
      <c r="J16" s="89">
        <f>'MONTHLY STATS'!$C$103*2</f>
        <v>468718</v>
      </c>
      <c r="K16" s="89">
        <f>'MONTHLY STATS'!$C$114*2</f>
        <v>621122</v>
      </c>
      <c r="L16" s="89">
        <f>'MONTHLY STATS'!$C$125*2</f>
        <v>76438</v>
      </c>
      <c r="M16" s="89">
        <f>'MONTHLY STATS'!$C$136*2</f>
        <v>670832</v>
      </c>
      <c r="N16" s="89">
        <f>'MONTHLY STATS'!$C$147*2</f>
        <v>116760</v>
      </c>
      <c r="O16" s="90">
        <f>SUM(B16:N16)</f>
        <v>4443594</v>
      </c>
      <c r="P16" s="83"/>
    </row>
    <row r="17" spans="1:16" ht="15.75" x14ac:dyDescent="0.25">
      <c r="A17" s="88">
        <f>DATE(2022,2,1)</f>
        <v>44593</v>
      </c>
      <c r="B17" s="89">
        <f>'MONTHLY STATS'!$C$16*2</f>
        <v>396266</v>
      </c>
      <c r="C17" s="89">
        <f>'MONTHLY STATS'!$C$27*2</f>
        <v>190868</v>
      </c>
      <c r="D17" s="89">
        <f>'MONTHLY STATS'!$C$38*2</f>
        <v>102558</v>
      </c>
      <c r="E17" s="89">
        <f>'MONTHLY STATS'!$C$49*2</f>
        <v>558304</v>
      </c>
      <c r="F17" s="89">
        <f>'MONTHLY STATS'!$C$60*2</f>
        <v>396010</v>
      </c>
      <c r="G17" s="89">
        <f>'MONTHLY STATS'!$C$71*2</f>
        <v>172648</v>
      </c>
      <c r="H17" s="89">
        <f>'MONTHLY STATS'!$C$82*2</f>
        <v>369476</v>
      </c>
      <c r="I17" s="89">
        <f>'MONTHLY STATS'!$C$93*2</f>
        <v>372166</v>
      </c>
      <c r="J17" s="89">
        <f>'MONTHLY STATS'!$C$104*2</f>
        <v>507200</v>
      </c>
      <c r="K17" s="89">
        <f>'MONTHLY STATS'!$C$115*2</f>
        <v>603574</v>
      </c>
      <c r="L17" s="89">
        <f>'MONTHLY STATS'!$C$126*2</f>
        <v>81026</v>
      </c>
      <c r="M17" s="89">
        <f>'MONTHLY STATS'!$C$137*2</f>
        <v>661232</v>
      </c>
      <c r="N17" s="89">
        <f>'MONTHLY STATS'!$C$148*2</f>
        <v>133496</v>
      </c>
      <c r="O17" s="90">
        <f>SUM(B17:N17)</f>
        <v>4544824</v>
      </c>
      <c r="P17" s="83"/>
    </row>
    <row r="18" spans="1:16" ht="15.75" x14ac:dyDescent="0.25">
      <c r="A18" s="88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90"/>
      <c r="P18" s="83"/>
    </row>
    <row r="19" spans="1:16" ht="15.75" x14ac:dyDescent="0.25">
      <c r="A19" s="88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90"/>
      <c r="P19" s="83"/>
    </row>
    <row r="20" spans="1:16" ht="15.75" x14ac:dyDescent="0.25">
      <c r="A20" s="88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90"/>
      <c r="P20" s="83"/>
    </row>
    <row r="21" spans="1:16" ht="15.75" x14ac:dyDescent="0.25">
      <c r="A21" s="88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90"/>
      <c r="P21" s="83"/>
    </row>
    <row r="22" spans="1:16" ht="15.75" x14ac:dyDescent="0.25">
      <c r="A22" s="88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  <c r="P22" s="83"/>
    </row>
    <row r="23" spans="1:16" ht="15.75" x14ac:dyDescent="0.25">
      <c r="A23" s="91" t="s">
        <v>27</v>
      </c>
      <c r="B23" s="90">
        <f t="shared" ref="B23:O23" si="1">SUM(B10:B21)</f>
        <v>3357896</v>
      </c>
      <c r="C23" s="90">
        <f t="shared" si="1"/>
        <v>1628618</v>
      </c>
      <c r="D23" s="90">
        <f t="shared" si="1"/>
        <v>892610</v>
      </c>
      <c r="E23" s="90">
        <f t="shared" si="1"/>
        <v>4980548</v>
      </c>
      <c r="F23" s="90">
        <f t="shared" si="1"/>
        <v>3585360</v>
      </c>
      <c r="G23" s="90">
        <f>SUM(G10:G21)</f>
        <v>1477722</v>
      </c>
      <c r="H23" s="90">
        <f t="shared" si="1"/>
        <v>3416058</v>
      </c>
      <c r="I23" s="90">
        <f>SUM(I10:I21)</f>
        <v>3319242</v>
      </c>
      <c r="J23" s="90">
        <f t="shared" si="1"/>
        <v>4130348</v>
      </c>
      <c r="K23" s="90">
        <f>SUM(K10:K21)</f>
        <v>5192132</v>
      </c>
      <c r="L23" s="90">
        <f t="shared" si="1"/>
        <v>737914</v>
      </c>
      <c r="M23" s="90">
        <f t="shared" si="1"/>
        <v>5724522</v>
      </c>
      <c r="N23" s="90">
        <f t="shared" si="1"/>
        <v>1073622</v>
      </c>
      <c r="O23" s="90">
        <f t="shared" si="1"/>
        <v>39516592</v>
      </c>
      <c r="P23" s="83"/>
    </row>
    <row r="24" spans="1:16" ht="16.5" thickBot="1" x14ac:dyDescent="0.3">
      <c r="A24" s="92"/>
      <c r="B24" s="90"/>
      <c r="C24" s="90"/>
      <c r="D24" s="90"/>
      <c r="E24" s="89"/>
      <c r="F24" s="89"/>
      <c r="G24" s="89"/>
      <c r="H24" s="89"/>
      <c r="I24" s="89"/>
      <c r="J24" s="90"/>
      <c r="K24" s="90"/>
      <c r="L24" s="90"/>
      <c r="M24" s="90"/>
      <c r="N24" s="90"/>
      <c r="O24" s="90"/>
      <c r="P24" s="83"/>
    </row>
    <row r="25" spans="1:16" ht="15.75" thickTop="1" x14ac:dyDescent="0.2">
      <c r="A25" s="93"/>
      <c r="B25" s="94"/>
      <c r="C25" s="94"/>
      <c r="D25" s="94"/>
      <c r="E25" s="94"/>
      <c r="F25" s="94"/>
      <c r="G25" s="94"/>
      <c r="H25" s="94"/>
      <c r="I25" s="94"/>
      <c r="J25" s="94"/>
      <c r="K25" s="95"/>
      <c r="L25" s="95"/>
      <c r="M25" s="95"/>
      <c r="N25" s="95"/>
      <c r="O25" s="95"/>
    </row>
    <row r="26" spans="1:16" ht="24" thickBot="1" x14ac:dyDescent="0.4">
      <c r="A26" s="96" t="s">
        <v>28</v>
      </c>
      <c r="B26" s="97"/>
      <c r="C26" s="98"/>
      <c r="D26" s="98"/>
      <c r="E26" s="98"/>
      <c r="F26" s="98"/>
      <c r="G26" s="98"/>
      <c r="H26" s="98"/>
      <c r="I26" s="98"/>
      <c r="J26" s="98"/>
      <c r="K26" s="99"/>
      <c r="L26" s="99"/>
      <c r="M26" s="99"/>
      <c r="N26" s="99"/>
      <c r="O26" s="99"/>
    </row>
    <row r="27" spans="1:16" ht="16.5" thickTop="1" x14ac:dyDescent="0.25">
      <c r="A27" s="100"/>
      <c r="B27" s="101"/>
      <c r="C27" s="101"/>
      <c r="D27" s="101"/>
      <c r="E27" s="102"/>
      <c r="F27" s="102"/>
      <c r="G27" s="102"/>
      <c r="H27" s="102"/>
      <c r="I27" s="102"/>
      <c r="J27" s="101"/>
      <c r="K27" s="103"/>
      <c r="L27" s="103"/>
      <c r="M27" s="103"/>
      <c r="N27" s="103"/>
      <c r="O27" s="104" t="s">
        <v>23</v>
      </c>
      <c r="P27" s="83"/>
    </row>
    <row r="28" spans="1:16" ht="15.75" x14ac:dyDescent="0.25">
      <c r="A28" s="105" t="s">
        <v>24</v>
      </c>
      <c r="B28" s="84" t="s">
        <v>13</v>
      </c>
      <c r="C28" s="84" t="s">
        <v>15</v>
      </c>
      <c r="D28" s="84" t="s">
        <v>64</v>
      </c>
      <c r="E28" s="275" t="s">
        <v>56</v>
      </c>
      <c r="F28" s="84" t="s">
        <v>62</v>
      </c>
      <c r="G28" s="84" t="s">
        <v>65</v>
      </c>
      <c r="H28" s="84" t="s">
        <v>71</v>
      </c>
      <c r="I28" s="84" t="s">
        <v>52</v>
      </c>
      <c r="J28" s="84" t="s">
        <v>25</v>
      </c>
      <c r="K28" s="106" t="s">
        <v>53</v>
      </c>
      <c r="L28" s="106" t="s">
        <v>50</v>
      </c>
      <c r="M28" s="106" t="s">
        <v>17</v>
      </c>
      <c r="N28" s="106" t="s">
        <v>51</v>
      </c>
      <c r="O28" s="106" t="s">
        <v>26</v>
      </c>
      <c r="P28" s="83"/>
    </row>
    <row r="29" spans="1:16" ht="16.5" thickBot="1" x14ac:dyDescent="0.3">
      <c r="A29" s="107"/>
      <c r="B29" s="108"/>
      <c r="C29" s="108"/>
      <c r="D29" s="108"/>
      <c r="E29" s="276"/>
      <c r="F29" s="84"/>
      <c r="G29" s="84"/>
      <c r="H29" s="84"/>
      <c r="I29" s="84"/>
      <c r="J29" s="108"/>
      <c r="K29" s="109"/>
      <c r="L29" s="109"/>
      <c r="M29" s="109"/>
      <c r="N29" s="109"/>
      <c r="O29" s="109"/>
      <c r="P29" s="83"/>
    </row>
    <row r="30" spans="1:16" ht="15.75" thickTop="1" x14ac:dyDescent="0.2">
      <c r="A30" s="110"/>
      <c r="B30" s="111"/>
      <c r="C30" s="111"/>
      <c r="D30" s="111"/>
      <c r="E30" s="112"/>
      <c r="F30" s="112"/>
      <c r="G30" s="112"/>
      <c r="H30" s="112"/>
      <c r="I30" s="112"/>
      <c r="J30" s="111"/>
      <c r="K30" s="113"/>
      <c r="L30" s="113"/>
      <c r="M30" s="113"/>
      <c r="N30" s="113"/>
      <c r="O30" s="113"/>
      <c r="P30" s="83"/>
    </row>
    <row r="31" spans="1:16" ht="15.75" x14ac:dyDescent="0.25">
      <c r="A31" s="88">
        <f>DATE(2021,7,1)</f>
        <v>44378</v>
      </c>
      <c r="B31" s="89">
        <f>'MONTHLY STATS'!$K$9*0.21</f>
        <v>3347290.5080999997</v>
      </c>
      <c r="C31" s="89">
        <f>'MONTHLY STATS'!$K$20*0.21</f>
        <v>1692376.4865000001</v>
      </c>
      <c r="D31" s="89">
        <f>'MONTHLY STATS'!$K$31*0.21</f>
        <v>966002.71950000001</v>
      </c>
      <c r="E31" s="89">
        <f>'MONTHLY STATS'!$K$42*0.21</f>
        <v>4051465.2297</v>
      </c>
      <c r="F31" s="89">
        <f>'MONTHLY STATS'!$K$53*0.21</f>
        <v>3404376.3956999998</v>
      </c>
      <c r="G31" s="89">
        <f>'MONTHLY STATS'!$K$64*0.21</f>
        <v>1359356.1113999998</v>
      </c>
      <c r="H31" s="89">
        <f>'MONTHLY STATS'!$K$75*0.21</f>
        <v>1998001.6497</v>
      </c>
      <c r="I31" s="89">
        <f>'MONTHLY STATS'!$K$86*0.21</f>
        <v>3112641.8021999998</v>
      </c>
      <c r="J31" s="89">
        <f>'MONTHLY STATS'!$K$97*0.21</f>
        <v>3802869.9155999999</v>
      </c>
      <c r="K31" s="89">
        <f>'MONTHLY STATS'!$K$108*0.21</f>
        <v>4229164.4597999994</v>
      </c>
      <c r="L31" s="89">
        <f>'MONTHLY STATS'!$K$119*0.21</f>
        <v>763729.81019999995</v>
      </c>
      <c r="M31" s="89">
        <f>'MONTHLY STATS'!$K$130*0.21</f>
        <v>5560718.5472999997</v>
      </c>
      <c r="N31" s="89">
        <f>'MONTHLY STATS'!$K$141*0.21</f>
        <v>859182.35969999991</v>
      </c>
      <c r="O31" s="90">
        <f t="shared" ref="O31:O36" si="2">SUM(B31:N31)</f>
        <v>35147175.995400004</v>
      </c>
      <c r="P31" s="83"/>
    </row>
    <row r="32" spans="1:16" ht="15.75" x14ac:dyDescent="0.25">
      <c r="A32" s="88">
        <f>DATE(2021,8,1)</f>
        <v>44409</v>
      </c>
      <c r="B32" s="89">
        <f>'MONTHLY STATS'!$K$10*0.21</f>
        <v>3166085.3951999997</v>
      </c>
      <c r="C32" s="89">
        <f>'MONTHLY STATS'!$K$21*0.21</f>
        <v>1509930.7881</v>
      </c>
      <c r="D32" s="89">
        <f>'MONTHLY STATS'!$K$32*0.21</f>
        <v>806000.47290000005</v>
      </c>
      <c r="E32" s="89">
        <f>'MONTHLY STATS'!$K$43*0.21</f>
        <v>3699418.1552999998</v>
      </c>
      <c r="F32" s="89">
        <f>'MONTHLY STATS'!$K$54*0.21</f>
        <v>2811660.0855</v>
      </c>
      <c r="G32" s="89">
        <f>'MONTHLY STATS'!$K$65*0.21</f>
        <v>1231968.5007</v>
      </c>
      <c r="H32" s="89">
        <f>'MONTHLY STATS'!$K$76*0.21</f>
        <v>1988771.3873999999</v>
      </c>
      <c r="I32" s="89">
        <f>'MONTHLY STATS'!$K$87*0.21</f>
        <v>2755751.5986000001</v>
      </c>
      <c r="J32" s="89">
        <f>'MONTHLY STATS'!$K$98*0.21</f>
        <v>3419526.1169999996</v>
      </c>
      <c r="K32" s="89">
        <f>'MONTHLY STATS'!$K$109*0.21</f>
        <v>4030922.8196999999</v>
      </c>
      <c r="L32" s="89">
        <f>'MONTHLY STATS'!$K$120*0.21</f>
        <v>677192.16389999993</v>
      </c>
      <c r="M32" s="89">
        <f>'MONTHLY STATS'!$K$131*0.21</f>
        <v>5128975.6055999994</v>
      </c>
      <c r="N32" s="89">
        <f>'MONTHLY STATS'!$K$142*0.21</f>
        <v>825367.23360000004</v>
      </c>
      <c r="O32" s="90">
        <f t="shared" si="2"/>
        <v>32051570.323499996</v>
      </c>
      <c r="P32" s="83"/>
    </row>
    <row r="33" spans="1:16" ht="15.75" x14ac:dyDescent="0.25">
      <c r="A33" s="88">
        <f>DATE(2021,9,1)</f>
        <v>44440</v>
      </c>
      <c r="B33" s="89">
        <f>'MONTHLY STATS'!$K$11*0.21</f>
        <v>2914050.8711999999</v>
      </c>
      <c r="C33" s="89">
        <f>'MONTHLY STATS'!$K$22*0.21</f>
        <v>1602237.4431</v>
      </c>
      <c r="D33" s="89">
        <f>'MONTHLY STATS'!$K$33*0.21</f>
        <v>858189.42090000003</v>
      </c>
      <c r="E33" s="89">
        <f>'MONTHLY STATS'!$K$44*0.21</f>
        <v>4071781.6902000001</v>
      </c>
      <c r="F33" s="89">
        <f>'MONTHLY STATS'!$K$55*0.21</f>
        <v>3042866.5427999999</v>
      </c>
      <c r="G33" s="89">
        <f>'MONTHLY STATS'!$K$66*0.21</f>
        <v>1257725.1036</v>
      </c>
      <c r="H33" s="89">
        <f>'MONTHLY STATS'!$K$77*0.21</f>
        <v>2110648.4133000001</v>
      </c>
      <c r="I33" s="89">
        <f>'MONTHLY STATS'!$K$88*0.21</f>
        <v>2545471.0763999997</v>
      </c>
      <c r="J33" s="89">
        <f>'MONTHLY STATS'!$K$99*0.21</f>
        <v>3038934.9794999999</v>
      </c>
      <c r="K33" s="89">
        <f>'MONTHLY STATS'!$K$110*0.21</f>
        <v>4090020.0474</v>
      </c>
      <c r="L33" s="89">
        <f>'MONTHLY STATS'!$K$121*0.21</f>
        <v>660366.03149999992</v>
      </c>
      <c r="M33" s="89">
        <f>'MONTHLY STATS'!$K$132*0.21</f>
        <v>4989167.7905999999</v>
      </c>
      <c r="N33" s="89">
        <f>'MONTHLY STATS'!$K$143*0.21</f>
        <v>763495.29269999999</v>
      </c>
      <c r="O33" s="90">
        <f t="shared" si="2"/>
        <v>31944954.703200005</v>
      </c>
      <c r="P33" s="83"/>
    </row>
    <row r="34" spans="1:16" ht="15.75" x14ac:dyDescent="0.25">
      <c r="A34" s="88">
        <f>DATE(2021,10,1)</f>
        <v>44470</v>
      </c>
      <c r="B34" s="89">
        <f>'MONTHLY STATS'!$K$12*0.21</f>
        <v>3202283.8911000001</v>
      </c>
      <c r="C34" s="89">
        <f>'MONTHLY STATS'!$K$23*0.21</f>
        <v>1646199.1895999999</v>
      </c>
      <c r="D34" s="89">
        <f>'MONTHLY STATS'!$K$34*0.21</f>
        <v>861622.56809999992</v>
      </c>
      <c r="E34" s="89">
        <f>'MONTHLY STATS'!$K$45*0.21</f>
        <v>4026629.2458000001</v>
      </c>
      <c r="F34" s="89">
        <f>'MONTHLY STATS'!$K$56*0.21</f>
        <v>3131092.1816999996</v>
      </c>
      <c r="G34" s="89">
        <f>'MONTHLY STATS'!$K$67*0.21</f>
        <v>1210593.4700999998</v>
      </c>
      <c r="H34" s="89">
        <f>'MONTHLY STATS'!$K$78*0.21</f>
        <v>2183798.0156999999</v>
      </c>
      <c r="I34" s="89">
        <f>'MONTHLY STATS'!$K$89*0.21</f>
        <v>2694564.7301999996</v>
      </c>
      <c r="J34" s="89">
        <f>'MONTHLY STATS'!$K$100*0.21</f>
        <v>3463632.4316999996</v>
      </c>
      <c r="K34" s="89">
        <f>'MONTHLY STATS'!$K$111*0.21</f>
        <v>4415796.3128999993</v>
      </c>
      <c r="L34" s="89">
        <f>'MONTHLY STATS'!$K$122*0.21</f>
        <v>733979.07030000002</v>
      </c>
      <c r="M34" s="89">
        <f>'MONTHLY STATS'!$K$133*0.21</f>
        <v>5592505.1048999997</v>
      </c>
      <c r="N34" s="89">
        <f>'MONTHLY STATS'!$K$144*0.21</f>
        <v>865800.27659999998</v>
      </c>
      <c r="O34" s="90">
        <f t="shared" si="2"/>
        <v>34028496.488699995</v>
      </c>
      <c r="P34" s="83"/>
    </row>
    <row r="35" spans="1:16" ht="15.75" x14ac:dyDescent="0.25">
      <c r="A35" s="88">
        <f>DATE(2021,11,1)</f>
        <v>44501</v>
      </c>
      <c r="B35" s="89">
        <f>'MONTHLY STATS'!$K$13*0.21</f>
        <v>2842089.2094000001</v>
      </c>
      <c r="C35" s="89">
        <f>'MONTHLY STATS'!$K$24*0.21</f>
        <v>1427173.0493999999</v>
      </c>
      <c r="D35" s="89">
        <f>'MONTHLY STATS'!$K$35*0.21</f>
        <v>776239.16579999996</v>
      </c>
      <c r="E35" s="89">
        <f>'MONTHLY STATS'!$K$46*0.21</f>
        <v>3955215.5244</v>
      </c>
      <c r="F35" s="89">
        <f>'MONTHLY STATS'!$K$57*0.21</f>
        <v>3166545.8832</v>
      </c>
      <c r="G35" s="89">
        <f>'MONTHLY STATS'!$K$68*0.21</f>
        <v>1193974.2254999999</v>
      </c>
      <c r="H35" s="89">
        <f>'MONTHLY STATS'!$K$79*0.21</f>
        <v>2017320.8328</v>
      </c>
      <c r="I35" s="89">
        <f>'MONTHLY STATS'!$K$90*0.21</f>
        <v>2493711.2319</v>
      </c>
      <c r="J35" s="89">
        <f>'MONTHLY STATS'!$K$101*0.21</f>
        <v>3373022.6943000001</v>
      </c>
      <c r="K35" s="89">
        <f>'MONTHLY STATS'!$K$112*0.21</f>
        <v>4165210.1063999999</v>
      </c>
      <c r="L35" s="89">
        <f>'MONTHLY STATS'!$K$123*0.21</f>
        <v>670322.16090000002</v>
      </c>
      <c r="M35" s="89">
        <f>'MONTHLY STATS'!$K$134*0.21</f>
        <v>5014684.2563999994</v>
      </c>
      <c r="N35" s="89">
        <f>'MONTHLY STATS'!$K$145*0.21</f>
        <v>786496.28610000003</v>
      </c>
      <c r="O35" s="90">
        <f t="shared" si="2"/>
        <v>31882004.626499996</v>
      </c>
      <c r="P35" s="83"/>
    </row>
    <row r="36" spans="1:16" ht="15.75" x14ac:dyDescent="0.25">
      <c r="A36" s="88">
        <f>DATE(2021,12,1)</f>
        <v>44531</v>
      </c>
      <c r="B36" s="89">
        <f>'MONTHLY STATS'!$K$14*0.21</f>
        <v>3068195.6969999997</v>
      </c>
      <c r="C36" s="89">
        <f>'MONTHLY STATS'!$K$25*0.21</f>
        <v>1551523.8689999999</v>
      </c>
      <c r="D36" s="89">
        <f>'MONTHLY STATS'!$K$36*0.21</f>
        <v>826341.04559999995</v>
      </c>
      <c r="E36" s="89">
        <f>'MONTHLY STATS'!$K$47*0.21</f>
        <v>4273948.5011999998</v>
      </c>
      <c r="F36" s="89">
        <f>'MONTHLY STATS'!$K$58*0.21</f>
        <v>3112418.6519999998</v>
      </c>
      <c r="G36" s="89">
        <f>'MONTHLY STATS'!$K$69*0.21</f>
        <v>1324283.4968999999</v>
      </c>
      <c r="H36" s="89">
        <f>'MONTHLY STATS'!$K$80*0.21</f>
        <v>2139857.8067999999</v>
      </c>
      <c r="I36" s="89">
        <f>'MONTHLY STATS'!$K$91*0.21</f>
        <v>2634099.6296999999</v>
      </c>
      <c r="J36" s="89">
        <f>'MONTHLY STATS'!$K$102*0.21</f>
        <v>3519519.1373999999</v>
      </c>
      <c r="K36" s="89">
        <f>'MONTHLY STATS'!$K$113*0.21</f>
        <v>4594080.4979999997</v>
      </c>
      <c r="L36" s="89">
        <f>'MONTHLY STATS'!$K$124*0.21</f>
        <v>666192.61589999998</v>
      </c>
      <c r="M36" s="89">
        <f>'MONTHLY STATS'!$K$135*0.21</f>
        <v>5722533.9569999995</v>
      </c>
      <c r="N36" s="89">
        <f>'MONTHLY STATS'!$K$146*0.21</f>
        <v>864892.68180000002</v>
      </c>
      <c r="O36" s="90">
        <f t="shared" si="2"/>
        <v>34297887.588299997</v>
      </c>
      <c r="P36" s="83"/>
    </row>
    <row r="37" spans="1:16" ht="15.75" x14ac:dyDescent="0.25">
      <c r="A37" s="88">
        <f>DATE(2022,1,1)</f>
        <v>44562</v>
      </c>
      <c r="B37" s="89">
        <f>'MONTHLY STATS'!$K$15*0.21</f>
        <v>2672120.6483999998</v>
      </c>
      <c r="C37" s="89">
        <f>'MONTHLY STATS'!$K$26*0.21</f>
        <v>1399123.0490999999</v>
      </c>
      <c r="D37" s="89">
        <f>'MONTHLY STATS'!$K$37*0.21</f>
        <v>721398.60659999994</v>
      </c>
      <c r="E37" s="89">
        <f>'MONTHLY STATS'!$K$48*0.21</f>
        <v>3980140.7393999998</v>
      </c>
      <c r="F37" s="89">
        <f>'MONTHLY STATS'!$K$59*0.21</f>
        <v>2935660.7973000002</v>
      </c>
      <c r="G37" s="89">
        <f>'MONTHLY STATS'!$K$70*0.21</f>
        <v>1166561.2749000001</v>
      </c>
      <c r="H37" s="89">
        <f>'MONTHLY STATS'!$K$81*0.21</f>
        <v>1915632.1316999998</v>
      </c>
      <c r="I37" s="89">
        <f>'MONTHLY STATS'!$K$92*0.21</f>
        <v>2244748.3317</v>
      </c>
      <c r="J37" s="89">
        <f>'MONTHLY STATS'!$K$103*0.21</f>
        <v>3129722.2760999999</v>
      </c>
      <c r="K37" s="89">
        <f>'MONTHLY STATS'!$K$114*0.21</f>
        <v>3939683.6366999997</v>
      </c>
      <c r="L37" s="89">
        <f>'MONTHLY STATS'!$K$125*0.21</f>
        <v>593962.89749999996</v>
      </c>
      <c r="M37" s="89">
        <f>'MONTHLY STATS'!$K$136*0.21</f>
        <v>5110167.7913999995</v>
      </c>
      <c r="N37" s="89">
        <f>'MONTHLY STATS'!$K$147*0.21</f>
        <v>743755.70429999998</v>
      </c>
      <c r="O37" s="90">
        <f>SUM(B37:N37)</f>
        <v>30552677.8851</v>
      </c>
      <c r="P37" s="83"/>
    </row>
    <row r="38" spans="1:16" ht="15.75" x14ac:dyDescent="0.25">
      <c r="A38" s="88">
        <f>DATE(2022,2,1)</f>
        <v>44593</v>
      </c>
      <c r="B38" s="89">
        <f>'MONTHLY STATS'!$K$16*0.21</f>
        <v>2932193.7897000001</v>
      </c>
      <c r="C38" s="89">
        <f>'MONTHLY STATS'!$K$27*0.21</f>
        <v>1386037.2141</v>
      </c>
      <c r="D38" s="89">
        <f>'MONTHLY STATS'!$K$38*0.21</f>
        <v>795783.26099999994</v>
      </c>
      <c r="E38" s="89">
        <f>'MONTHLY STATS'!$K$49*0.21</f>
        <v>3693007.5819000001</v>
      </c>
      <c r="F38" s="89">
        <f>'MONTHLY STATS'!$K$60*0.21</f>
        <v>2543536.8041999997</v>
      </c>
      <c r="G38" s="89">
        <f>'MONTHLY STATS'!$K$71*0.21</f>
        <v>1144195.122</v>
      </c>
      <c r="H38" s="89">
        <f>'MONTHLY STATS'!$K$82*0.21</f>
        <v>1940982.6113999998</v>
      </c>
      <c r="I38" s="89">
        <f>'MONTHLY STATS'!$K$93*0.21</f>
        <v>2380489.9502999997</v>
      </c>
      <c r="J38" s="89">
        <f>'MONTHLY STATS'!$K$104*0.21</f>
        <v>3354185.2427999997</v>
      </c>
      <c r="K38" s="89">
        <f>'MONTHLY STATS'!$K$115*0.21</f>
        <v>4091924.3147999998</v>
      </c>
      <c r="L38" s="89">
        <f>'MONTHLY STATS'!$K$126*0.21</f>
        <v>624866.73270000005</v>
      </c>
      <c r="M38" s="89">
        <f>'MONTHLY STATS'!$K$137*0.21</f>
        <v>4873692.0833999999</v>
      </c>
      <c r="N38" s="89">
        <f>'MONTHLY STATS'!$K$148*0.21</f>
        <v>848310.0612</v>
      </c>
      <c r="O38" s="90">
        <f>SUM(B38:N38)</f>
        <v>30609204.769500002</v>
      </c>
      <c r="P38" s="83"/>
    </row>
    <row r="39" spans="1:16" ht="15.75" x14ac:dyDescent="0.25">
      <c r="A39" s="88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90"/>
      <c r="P39" s="83"/>
    </row>
    <row r="40" spans="1:16" ht="15.75" x14ac:dyDescent="0.25">
      <c r="A40" s="88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90"/>
      <c r="P40" s="83"/>
    </row>
    <row r="41" spans="1:16" ht="15.75" x14ac:dyDescent="0.25">
      <c r="A41" s="88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90"/>
      <c r="P41" s="83"/>
    </row>
    <row r="42" spans="1:16" ht="15.75" x14ac:dyDescent="0.25">
      <c r="A42" s="88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  <c r="P42" s="83"/>
    </row>
    <row r="43" spans="1:16" ht="15.75" x14ac:dyDescent="0.25">
      <c r="A43" s="88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90"/>
      <c r="P43" s="83"/>
    </row>
    <row r="44" spans="1:16" ht="15.75" x14ac:dyDescent="0.25">
      <c r="A44" s="91" t="s">
        <v>27</v>
      </c>
      <c r="B44" s="90">
        <f t="shared" ref="B44:O44" si="3">SUM(B31:B42)</f>
        <v>24144310.010100003</v>
      </c>
      <c r="C44" s="90">
        <f t="shared" si="3"/>
        <v>12214601.0889</v>
      </c>
      <c r="D44" s="90">
        <f t="shared" si="3"/>
        <v>6611577.2603999991</v>
      </c>
      <c r="E44" s="90">
        <f t="shared" si="3"/>
        <v>31751606.667899996</v>
      </c>
      <c r="F44" s="90">
        <f t="shared" si="3"/>
        <v>24148157.342399999</v>
      </c>
      <c r="G44" s="90">
        <f t="shared" si="3"/>
        <v>9888657.3050999977</v>
      </c>
      <c r="H44" s="90">
        <f t="shared" si="3"/>
        <v>16295012.8488</v>
      </c>
      <c r="I44" s="90">
        <f>SUM(I31:I42)</f>
        <v>20861478.351</v>
      </c>
      <c r="J44" s="90">
        <f t="shared" si="3"/>
        <v>27101412.794399999</v>
      </c>
      <c r="K44" s="90">
        <f>SUM(K31:K42)</f>
        <v>33556802.195699997</v>
      </c>
      <c r="L44" s="90">
        <f t="shared" si="3"/>
        <v>5390611.4828999992</v>
      </c>
      <c r="M44" s="90">
        <f t="shared" si="3"/>
        <v>41992445.136600003</v>
      </c>
      <c r="N44" s="90">
        <f t="shared" si="3"/>
        <v>6557299.8960000006</v>
      </c>
      <c r="O44" s="90">
        <f t="shared" si="3"/>
        <v>260513972.38020003</v>
      </c>
      <c r="P44" s="83"/>
    </row>
    <row r="45" spans="1:16" ht="16.5" thickBot="1" x14ac:dyDescent="0.3">
      <c r="A45" s="92"/>
      <c r="B45" s="90"/>
      <c r="C45" s="90"/>
      <c r="D45" s="90"/>
      <c r="E45" s="89"/>
      <c r="F45" s="89"/>
      <c r="G45" s="89"/>
      <c r="H45" s="89"/>
      <c r="I45" s="89"/>
      <c r="J45" s="90"/>
      <c r="K45" s="90"/>
      <c r="L45" s="90"/>
      <c r="M45" s="90"/>
      <c r="N45" s="90"/>
      <c r="O45" s="90"/>
      <c r="P45" s="83"/>
    </row>
    <row r="46" spans="1:16" ht="15.75" thickTop="1" x14ac:dyDescent="0.2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</row>
    <row r="47" spans="1:16" x14ac:dyDescent="0.2">
      <c r="A47" s="288"/>
      <c r="B47" s="287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</row>
    <row r="48" spans="1:16" ht="15.75" x14ac:dyDescent="0.25">
      <c r="A48" s="115" t="s">
        <v>29</v>
      </c>
      <c r="B48" s="98"/>
      <c r="C48" s="98"/>
      <c r="D48" s="98"/>
      <c r="E48" s="98"/>
      <c r="F48" s="98"/>
      <c r="G48" s="98"/>
      <c r="H48" s="98"/>
      <c r="I48" s="98"/>
    </row>
    <row r="49" spans="1:9" ht="15.75" x14ac:dyDescent="0.25">
      <c r="A49" s="115"/>
      <c r="B49" s="98"/>
      <c r="C49" s="98"/>
      <c r="D49" s="98"/>
      <c r="E49" s="98"/>
      <c r="F49" s="98"/>
      <c r="G49" s="98"/>
      <c r="H49" s="98"/>
      <c r="I49" s="98"/>
    </row>
    <row r="50" spans="1:9" ht="15.75" x14ac:dyDescent="0.25">
      <c r="A50" s="72"/>
    </row>
  </sheetData>
  <phoneticPr fontId="0" type="noConversion"/>
  <printOptions horizontalCentered="1"/>
  <pageMargins left="0.3" right="0.05" top="0.31944444444444398" bottom="0.25" header="0.5" footer="0.5"/>
  <pageSetup scale="5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57"/>
  <sheetViews>
    <sheetView showOutlineSymbols="0" zoomScaleNormal="100" workbookViewId="0">
      <selection activeCell="A5" sqref="A5"/>
    </sheetView>
  </sheetViews>
  <sheetFormatPr defaultColWidth="9.6640625" defaultRowHeight="15" x14ac:dyDescent="0.2"/>
  <cols>
    <col min="1" max="1" width="27.6640625" style="118" customWidth="1"/>
    <col min="2" max="2" width="9.6640625" style="118" customWidth="1"/>
    <col min="3" max="3" width="16.6640625" style="209" customWidth="1"/>
    <col min="4" max="5" width="15.6640625" style="209" customWidth="1"/>
    <col min="6" max="6" width="9.6640625" style="118" customWidth="1"/>
    <col min="7" max="7" width="10.5546875" style="221" customWidth="1"/>
    <col min="8" max="16384" width="9.6640625" style="118"/>
  </cols>
  <sheetData>
    <row r="1" spans="1:8" ht="18" x14ac:dyDescent="0.25">
      <c r="A1" s="116" t="s">
        <v>0</v>
      </c>
      <c r="B1" s="117"/>
      <c r="C1" s="200"/>
      <c r="D1" s="200"/>
      <c r="E1" s="200"/>
      <c r="F1" s="117"/>
      <c r="G1" s="210"/>
    </row>
    <row r="2" spans="1:8" ht="18" customHeight="1" x14ac:dyDescent="0.3">
      <c r="A2" s="119" t="s">
        <v>30</v>
      </c>
      <c r="B2" s="117"/>
      <c r="C2" s="200"/>
      <c r="D2" s="200"/>
      <c r="E2" s="200"/>
      <c r="F2" s="117"/>
      <c r="G2" s="210"/>
    </row>
    <row r="3" spans="1:8" ht="18" customHeight="1" x14ac:dyDescent="0.25">
      <c r="A3" s="283" t="s">
        <v>75</v>
      </c>
      <c r="B3" s="117"/>
      <c r="C3" s="200"/>
      <c r="D3" s="200"/>
      <c r="E3" s="200"/>
      <c r="F3" s="117"/>
      <c r="G3" s="210"/>
    </row>
    <row r="4" spans="1:8" x14ac:dyDescent="0.2">
      <c r="A4" s="284" t="s">
        <v>76</v>
      </c>
      <c r="B4" s="117"/>
      <c r="C4" s="200"/>
      <c r="D4" s="200"/>
      <c r="E4" s="200"/>
      <c r="F4" s="117"/>
      <c r="G4" s="210"/>
    </row>
    <row r="5" spans="1:8" ht="15.75" x14ac:dyDescent="0.25">
      <c r="A5" s="117"/>
      <c r="B5" s="117"/>
      <c r="C5" s="200"/>
      <c r="D5" s="200"/>
      <c r="E5" s="200"/>
      <c r="F5" s="117"/>
      <c r="G5" s="211" t="s">
        <v>1</v>
      </c>
    </row>
    <row r="6" spans="1:8" ht="16.5" thickTop="1" x14ac:dyDescent="0.25">
      <c r="A6" s="120"/>
      <c r="B6" s="121" t="s">
        <v>2</v>
      </c>
      <c r="C6" s="201" t="s">
        <v>31</v>
      </c>
      <c r="D6" s="201" t="s">
        <v>31</v>
      </c>
      <c r="E6" s="201" t="s">
        <v>3</v>
      </c>
      <c r="F6" s="122"/>
      <c r="G6" s="212" t="s">
        <v>32</v>
      </c>
      <c r="H6" s="123"/>
    </row>
    <row r="7" spans="1:8" ht="16.5" thickBot="1" x14ac:dyDescent="0.3">
      <c r="A7" s="124" t="s">
        <v>5</v>
      </c>
      <c r="B7" s="125" t="s">
        <v>6</v>
      </c>
      <c r="C7" s="262" t="s">
        <v>33</v>
      </c>
      <c r="D7" s="202" t="s">
        <v>34</v>
      </c>
      <c r="E7" s="202" t="s">
        <v>34</v>
      </c>
      <c r="F7" s="126" t="s">
        <v>8</v>
      </c>
      <c r="G7" s="213" t="s">
        <v>35</v>
      </c>
      <c r="H7" s="123"/>
    </row>
    <row r="8" spans="1:8" ht="15.75" customHeight="1" thickTop="1" x14ac:dyDescent="0.25">
      <c r="A8" s="127"/>
      <c r="B8" s="128"/>
      <c r="C8" s="203"/>
      <c r="D8" s="203"/>
      <c r="E8" s="203"/>
      <c r="F8" s="129"/>
      <c r="G8" s="214"/>
      <c r="H8" s="123"/>
    </row>
    <row r="9" spans="1:8" ht="15.75" x14ac:dyDescent="0.25">
      <c r="A9" s="130" t="s">
        <v>36</v>
      </c>
      <c r="B9" s="131">
        <f>DATE(2021,7,1)</f>
        <v>44378</v>
      </c>
      <c r="C9" s="204">
        <v>13122165.060000001</v>
      </c>
      <c r="D9" s="204">
        <v>2401856.06</v>
      </c>
      <c r="E9" s="204">
        <v>1959351.91</v>
      </c>
      <c r="F9" s="132">
        <f t="shared" ref="F9:F16" si="0">(+D9-E9)/E9</f>
        <v>0.22584210000336294</v>
      </c>
      <c r="G9" s="215">
        <f t="shared" ref="G9:G16" si="1">D9/C9</f>
        <v>0.18303809234358159</v>
      </c>
      <c r="H9" s="123"/>
    </row>
    <row r="10" spans="1:8" ht="15.75" x14ac:dyDescent="0.25">
      <c r="A10" s="130"/>
      <c r="B10" s="131">
        <f>DATE(2021,8,1)</f>
        <v>44409</v>
      </c>
      <c r="C10" s="204">
        <v>12766088.5</v>
      </c>
      <c r="D10" s="204">
        <v>2504601.5</v>
      </c>
      <c r="E10" s="204">
        <v>1563543</v>
      </c>
      <c r="F10" s="132">
        <f t="shared" si="0"/>
        <v>0.60187567594879066</v>
      </c>
      <c r="G10" s="215">
        <f t="shared" si="1"/>
        <v>0.19619177009465349</v>
      </c>
      <c r="H10" s="123"/>
    </row>
    <row r="11" spans="1:8" ht="15.75" x14ac:dyDescent="0.25">
      <c r="A11" s="130"/>
      <c r="B11" s="131">
        <f>DATE(2021,9,1)</f>
        <v>44440</v>
      </c>
      <c r="C11" s="204">
        <v>12839885</v>
      </c>
      <c r="D11" s="204">
        <v>1944156.5</v>
      </c>
      <c r="E11" s="204">
        <v>1378249</v>
      </c>
      <c r="F11" s="132">
        <f t="shared" si="0"/>
        <v>0.41059888307555459</v>
      </c>
      <c r="G11" s="215">
        <f t="shared" si="1"/>
        <v>0.15141541376733514</v>
      </c>
      <c r="H11" s="123"/>
    </row>
    <row r="12" spans="1:8" ht="15.75" x14ac:dyDescent="0.25">
      <c r="A12" s="130"/>
      <c r="B12" s="131">
        <f>DATE(2021,10,1)</f>
        <v>44470</v>
      </c>
      <c r="C12" s="204">
        <v>12492840</v>
      </c>
      <c r="D12" s="204">
        <v>2656668</v>
      </c>
      <c r="E12" s="204">
        <v>1495832.5</v>
      </c>
      <c r="F12" s="132">
        <f t="shared" si="0"/>
        <v>0.77604644905094655</v>
      </c>
      <c r="G12" s="215">
        <f t="shared" si="1"/>
        <v>0.21265524892658516</v>
      </c>
      <c r="H12" s="123"/>
    </row>
    <row r="13" spans="1:8" ht="15.75" x14ac:dyDescent="0.25">
      <c r="A13" s="130"/>
      <c r="B13" s="131">
        <f>DATE(2021,11,1)</f>
        <v>44501</v>
      </c>
      <c r="C13" s="204">
        <v>11905927</v>
      </c>
      <c r="D13" s="204">
        <v>2254397</v>
      </c>
      <c r="E13" s="204">
        <v>1446618</v>
      </c>
      <c r="F13" s="132">
        <f t="shared" si="0"/>
        <v>0.55839136523947575</v>
      </c>
      <c r="G13" s="215">
        <f t="shared" si="1"/>
        <v>0.1893508166142796</v>
      </c>
      <c r="H13" s="123"/>
    </row>
    <row r="14" spans="1:8" ht="15.75" x14ac:dyDescent="0.25">
      <c r="A14" s="130"/>
      <c r="B14" s="131">
        <f>DATE(2021,12,1)</f>
        <v>44531</v>
      </c>
      <c r="C14" s="204">
        <v>13044632</v>
      </c>
      <c r="D14" s="204">
        <v>2277304.5</v>
      </c>
      <c r="E14" s="204">
        <v>1661463</v>
      </c>
      <c r="F14" s="132">
        <f t="shared" si="0"/>
        <v>0.37066218146296365</v>
      </c>
      <c r="G14" s="215">
        <f t="shared" si="1"/>
        <v>0.17457790300255308</v>
      </c>
      <c r="H14" s="123"/>
    </row>
    <row r="15" spans="1:8" ht="15.75" x14ac:dyDescent="0.25">
      <c r="A15" s="130"/>
      <c r="B15" s="131">
        <f>DATE(2022,1,1)</f>
        <v>44562</v>
      </c>
      <c r="C15" s="204">
        <v>14518603</v>
      </c>
      <c r="D15" s="204">
        <v>2164427.5</v>
      </c>
      <c r="E15" s="204">
        <v>1430188</v>
      </c>
      <c r="F15" s="132">
        <f t="shared" si="0"/>
        <v>0.51338670160845989</v>
      </c>
      <c r="G15" s="215">
        <f t="shared" si="1"/>
        <v>0.14907959808529789</v>
      </c>
      <c r="H15" s="123"/>
    </row>
    <row r="16" spans="1:8" ht="15.75" x14ac:dyDescent="0.25">
      <c r="A16" s="130"/>
      <c r="B16" s="131">
        <f>DATE(2022,2,1)</f>
        <v>44593</v>
      </c>
      <c r="C16" s="204">
        <v>13130349</v>
      </c>
      <c r="D16" s="204">
        <v>2316245</v>
      </c>
      <c r="E16" s="204">
        <v>1356444</v>
      </c>
      <c r="F16" s="132">
        <f t="shared" si="0"/>
        <v>0.70758615910424605</v>
      </c>
      <c r="G16" s="215">
        <f t="shared" si="1"/>
        <v>0.17640391736731445</v>
      </c>
      <c r="H16" s="123"/>
    </row>
    <row r="17" spans="1:8" ht="15.75" thickBot="1" x14ac:dyDescent="0.25">
      <c r="A17" s="133"/>
      <c r="B17" s="134"/>
      <c r="C17" s="204"/>
      <c r="D17" s="204"/>
      <c r="E17" s="204"/>
      <c r="F17" s="132"/>
      <c r="G17" s="215"/>
      <c r="H17" s="123"/>
    </row>
    <row r="18" spans="1:8" ht="17.25" thickTop="1" thickBot="1" x14ac:dyDescent="0.3">
      <c r="A18" s="135" t="s">
        <v>14</v>
      </c>
      <c r="B18" s="136"/>
      <c r="C18" s="201">
        <f>SUM(C9:C17)</f>
        <v>103820489.56</v>
      </c>
      <c r="D18" s="201">
        <f>SUM(D9:D17)</f>
        <v>18519656.060000002</v>
      </c>
      <c r="E18" s="201">
        <f>SUM(E9:E17)</f>
        <v>12291689.41</v>
      </c>
      <c r="F18" s="137">
        <f>(+D18-E18)/E18</f>
        <v>0.50668109502776659</v>
      </c>
      <c r="G18" s="212">
        <f>D18/C18</f>
        <v>0.17838151349977127</v>
      </c>
      <c r="H18" s="123"/>
    </row>
    <row r="19" spans="1:8" ht="15.75" customHeight="1" thickTop="1" x14ac:dyDescent="0.25">
      <c r="A19" s="138"/>
      <c r="B19" s="139"/>
      <c r="C19" s="205"/>
      <c r="D19" s="205"/>
      <c r="E19" s="205"/>
      <c r="F19" s="140"/>
      <c r="G19" s="216"/>
      <c r="H19" s="123"/>
    </row>
    <row r="20" spans="1:8" ht="15.75" x14ac:dyDescent="0.25">
      <c r="A20" s="19" t="s">
        <v>15</v>
      </c>
      <c r="B20" s="131">
        <f>DATE(2021,7,1)</f>
        <v>44378</v>
      </c>
      <c r="C20" s="204">
        <v>2659715</v>
      </c>
      <c r="D20" s="204">
        <v>753311.5</v>
      </c>
      <c r="E20" s="204">
        <v>547209</v>
      </c>
      <c r="F20" s="132">
        <f t="shared" ref="F20:F27" si="2">(+D20-E20)/E20</f>
        <v>0.37664311076754953</v>
      </c>
      <c r="G20" s="215">
        <f t="shared" ref="G20:G27" si="3">D20/C20</f>
        <v>0.28323015811844504</v>
      </c>
      <c r="H20" s="123"/>
    </row>
    <row r="21" spans="1:8" ht="15.75" x14ac:dyDescent="0.25">
      <c r="A21" s="19"/>
      <c r="B21" s="131">
        <f>DATE(2021,8,1)</f>
        <v>44409</v>
      </c>
      <c r="C21" s="204">
        <v>2802417</v>
      </c>
      <c r="D21" s="204">
        <v>615974.5</v>
      </c>
      <c r="E21" s="204">
        <v>526001.5</v>
      </c>
      <c r="F21" s="132">
        <f t="shared" si="2"/>
        <v>0.17105084301090395</v>
      </c>
      <c r="G21" s="215">
        <f t="shared" si="3"/>
        <v>0.21980115735809483</v>
      </c>
      <c r="H21" s="123"/>
    </row>
    <row r="22" spans="1:8" ht="15.75" x14ac:dyDescent="0.25">
      <c r="A22" s="19"/>
      <c r="B22" s="131">
        <f>DATE(2021,9,1)</f>
        <v>44440</v>
      </c>
      <c r="C22" s="204">
        <v>2513978</v>
      </c>
      <c r="D22" s="204">
        <v>858656</v>
      </c>
      <c r="E22" s="204">
        <v>401819.5</v>
      </c>
      <c r="F22" s="132">
        <f t="shared" si="2"/>
        <v>1.1369196865756888</v>
      </c>
      <c r="G22" s="215">
        <f t="shared" si="3"/>
        <v>0.34155271048513552</v>
      </c>
      <c r="H22" s="123"/>
    </row>
    <row r="23" spans="1:8" ht="15.75" x14ac:dyDescent="0.25">
      <c r="A23" s="19"/>
      <c r="B23" s="131">
        <f>DATE(2021,10,1)</f>
        <v>44470</v>
      </c>
      <c r="C23" s="204">
        <v>2807049</v>
      </c>
      <c r="D23" s="204">
        <v>649914</v>
      </c>
      <c r="E23" s="204">
        <v>612154.5</v>
      </c>
      <c r="F23" s="132">
        <f t="shared" si="2"/>
        <v>6.1682957488673203E-2</v>
      </c>
      <c r="G23" s="215">
        <f t="shared" si="3"/>
        <v>0.23152926792514131</v>
      </c>
      <c r="H23" s="123"/>
    </row>
    <row r="24" spans="1:8" ht="15.75" x14ac:dyDescent="0.25">
      <c r="A24" s="19"/>
      <c r="B24" s="131">
        <f>DATE(2021,11,1)</f>
        <v>44501</v>
      </c>
      <c r="C24" s="204">
        <v>2435882</v>
      </c>
      <c r="D24" s="204">
        <v>707738</v>
      </c>
      <c r="E24" s="204">
        <v>534831.5</v>
      </c>
      <c r="F24" s="132">
        <f t="shared" si="2"/>
        <v>0.32329154135461358</v>
      </c>
      <c r="G24" s="215">
        <f t="shared" si="3"/>
        <v>0.29054691483413403</v>
      </c>
      <c r="H24" s="123"/>
    </row>
    <row r="25" spans="1:8" ht="15.75" x14ac:dyDescent="0.25">
      <c r="A25" s="19"/>
      <c r="B25" s="131">
        <f>DATE(2021,12,1)</f>
        <v>44531</v>
      </c>
      <c r="C25" s="204">
        <v>2813282</v>
      </c>
      <c r="D25" s="204">
        <v>706014</v>
      </c>
      <c r="E25" s="204">
        <v>508771</v>
      </c>
      <c r="F25" s="132">
        <f t="shared" si="2"/>
        <v>0.38768522576955056</v>
      </c>
      <c r="G25" s="215">
        <f t="shared" si="3"/>
        <v>0.25095742268283094</v>
      </c>
      <c r="H25" s="123"/>
    </row>
    <row r="26" spans="1:8" ht="15.75" x14ac:dyDescent="0.25">
      <c r="A26" s="19"/>
      <c r="B26" s="131">
        <f>DATE(2022,1,1)</f>
        <v>44562</v>
      </c>
      <c r="C26" s="204">
        <v>2328587</v>
      </c>
      <c r="D26" s="204">
        <v>684356</v>
      </c>
      <c r="E26" s="204">
        <v>716489.5</v>
      </c>
      <c r="F26" s="132">
        <f t="shared" si="2"/>
        <v>-4.4848528833988495E-2</v>
      </c>
      <c r="G26" s="215">
        <f t="shared" si="3"/>
        <v>0.29389324942550998</v>
      </c>
      <c r="H26" s="123"/>
    </row>
    <row r="27" spans="1:8" ht="15.75" x14ac:dyDescent="0.25">
      <c r="A27" s="19"/>
      <c r="B27" s="131">
        <f>DATE(2022,2,1)</f>
        <v>44593</v>
      </c>
      <c r="C27" s="204">
        <v>2173318</v>
      </c>
      <c r="D27" s="204">
        <v>495607</v>
      </c>
      <c r="E27" s="204">
        <v>476264</v>
      </c>
      <c r="F27" s="132">
        <f t="shared" si="2"/>
        <v>4.0614029193892461E-2</v>
      </c>
      <c r="G27" s="215">
        <f t="shared" si="3"/>
        <v>0.2280416395575797</v>
      </c>
      <c r="H27" s="123"/>
    </row>
    <row r="28" spans="1:8" ht="15.75" thickBot="1" x14ac:dyDescent="0.25">
      <c r="A28" s="133"/>
      <c r="B28" s="131"/>
      <c r="C28" s="204"/>
      <c r="D28" s="204"/>
      <c r="E28" s="204"/>
      <c r="F28" s="132"/>
      <c r="G28" s="215"/>
      <c r="H28" s="123"/>
    </row>
    <row r="29" spans="1:8" ht="17.25" thickTop="1" thickBot="1" x14ac:dyDescent="0.3">
      <c r="A29" s="135" t="s">
        <v>14</v>
      </c>
      <c r="B29" s="136"/>
      <c r="C29" s="201">
        <f>SUM(C20:C28)</f>
        <v>20534228</v>
      </c>
      <c r="D29" s="201">
        <f>SUM(D20:D28)</f>
        <v>5471571</v>
      </c>
      <c r="E29" s="201">
        <f>SUM(E20:E28)</f>
        <v>4323540.5</v>
      </c>
      <c r="F29" s="137">
        <f>(+D29-E29)/E29</f>
        <v>0.26553018296000697</v>
      </c>
      <c r="G29" s="212">
        <f>D29/C29</f>
        <v>0.26646100354978042</v>
      </c>
      <c r="H29" s="123"/>
    </row>
    <row r="30" spans="1:8" ht="15.75" customHeight="1" thickTop="1" x14ac:dyDescent="0.25">
      <c r="A30" s="255"/>
      <c r="B30" s="139"/>
      <c r="C30" s="205"/>
      <c r="D30" s="205"/>
      <c r="E30" s="205"/>
      <c r="F30" s="140"/>
      <c r="G30" s="219"/>
      <c r="H30" s="123"/>
    </row>
    <row r="31" spans="1:8" ht="15.75" x14ac:dyDescent="0.25">
      <c r="A31" s="19" t="s">
        <v>64</v>
      </c>
      <c r="B31" s="131">
        <f>DATE(2021,7,1)</f>
        <v>44378</v>
      </c>
      <c r="C31" s="204">
        <v>1594658</v>
      </c>
      <c r="D31" s="204">
        <v>420154</v>
      </c>
      <c r="E31" s="204">
        <v>362069</v>
      </c>
      <c r="F31" s="132">
        <f t="shared" ref="F31:F38" si="4">(+D31-E31)/E31</f>
        <v>0.16042522281664545</v>
      </c>
      <c r="G31" s="215">
        <f t="shared" ref="G31:G38" si="5">D31/C31</f>
        <v>0.26347593026216282</v>
      </c>
      <c r="H31" s="123"/>
    </row>
    <row r="32" spans="1:8" ht="15.75" x14ac:dyDescent="0.25">
      <c r="A32" s="19"/>
      <c r="B32" s="131">
        <f>DATE(2021,8,1)</f>
        <v>44409</v>
      </c>
      <c r="C32" s="204">
        <v>1384308</v>
      </c>
      <c r="D32" s="204">
        <v>283741.5</v>
      </c>
      <c r="E32" s="204">
        <v>264520</v>
      </c>
      <c r="F32" s="132">
        <f t="shared" si="4"/>
        <v>7.2665582942688642E-2</v>
      </c>
      <c r="G32" s="215">
        <f t="shared" si="5"/>
        <v>0.20496991998890421</v>
      </c>
      <c r="H32" s="123"/>
    </row>
    <row r="33" spans="1:8" ht="15.75" x14ac:dyDescent="0.25">
      <c r="A33" s="19"/>
      <c r="B33" s="131">
        <f>DATE(2021,9,1)</f>
        <v>44440</v>
      </c>
      <c r="C33" s="204">
        <v>1364005</v>
      </c>
      <c r="D33" s="204">
        <v>271461</v>
      </c>
      <c r="E33" s="204">
        <v>282126.5</v>
      </c>
      <c r="F33" s="132">
        <f t="shared" si="4"/>
        <v>-3.780396382473819E-2</v>
      </c>
      <c r="G33" s="215">
        <f t="shared" si="5"/>
        <v>0.1990175989090949</v>
      </c>
      <c r="H33" s="123"/>
    </row>
    <row r="34" spans="1:8" ht="15.75" x14ac:dyDescent="0.25">
      <c r="A34" s="19"/>
      <c r="B34" s="131">
        <f>DATE(2021,10,1)</f>
        <v>44470</v>
      </c>
      <c r="C34" s="204">
        <v>1507535</v>
      </c>
      <c r="D34" s="204">
        <v>344180</v>
      </c>
      <c r="E34" s="204">
        <v>409251</v>
      </c>
      <c r="F34" s="132">
        <f t="shared" si="4"/>
        <v>-0.15900022235742858</v>
      </c>
      <c r="G34" s="215">
        <f t="shared" si="5"/>
        <v>0.22830647381321165</v>
      </c>
      <c r="H34" s="123"/>
    </row>
    <row r="35" spans="1:8" ht="15.75" x14ac:dyDescent="0.25">
      <c r="A35" s="19"/>
      <c r="B35" s="131">
        <f>DATE(2021,11,1)</f>
        <v>44501</v>
      </c>
      <c r="C35" s="204">
        <v>1413355</v>
      </c>
      <c r="D35" s="204">
        <v>349298.5</v>
      </c>
      <c r="E35" s="204">
        <v>302858</v>
      </c>
      <c r="F35" s="132">
        <f t="shared" si="4"/>
        <v>0.15334083960139736</v>
      </c>
      <c r="G35" s="215">
        <f t="shared" si="5"/>
        <v>0.24714137637040942</v>
      </c>
      <c r="H35" s="123"/>
    </row>
    <row r="36" spans="1:8" ht="15.75" x14ac:dyDescent="0.25">
      <c r="A36" s="19"/>
      <c r="B36" s="131">
        <f>DATE(2021,12,1)</f>
        <v>44531</v>
      </c>
      <c r="C36" s="204">
        <v>1438471</v>
      </c>
      <c r="D36" s="204">
        <v>335226</v>
      </c>
      <c r="E36" s="204">
        <v>403813</v>
      </c>
      <c r="F36" s="132">
        <f t="shared" si="4"/>
        <v>-0.16984841993695102</v>
      </c>
      <c r="G36" s="215">
        <f t="shared" si="5"/>
        <v>0.23304327998270385</v>
      </c>
      <c r="H36" s="123"/>
    </row>
    <row r="37" spans="1:8" ht="15.75" x14ac:dyDescent="0.25">
      <c r="A37" s="19"/>
      <c r="B37" s="131">
        <f>DATE(2022,1,1)</f>
        <v>44562</v>
      </c>
      <c r="C37" s="204">
        <v>1095658</v>
      </c>
      <c r="D37" s="204">
        <v>314386</v>
      </c>
      <c r="E37" s="204">
        <v>346038</v>
      </c>
      <c r="F37" s="132">
        <f t="shared" si="4"/>
        <v>-9.1469722978401211E-2</v>
      </c>
      <c r="G37" s="215">
        <f t="shared" si="5"/>
        <v>0.28693807739276306</v>
      </c>
      <c r="H37" s="123"/>
    </row>
    <row r="38" spans="1:8" ht="15.75" x14ac:dyDescent="0.25">
      <c r="A38" s="19"/>
      <c r="B38" s="131">
        <f>DATE(2022,2,1)</f>
        <v>44593</v>
      </c>
      <c r="C38" s="204">
        <v>1152903</v>
      </c>
      <c r="D38" s="204">
        <v>260435</v>
      </c>
      <c r="E38" s="204">
        <v>285945.5</v>
      </c>
      <c r="F38" s="132">
        <f t="shared" si="4"/>
        <v>-8.9214553122885301E-2</v>
      </c>
      <c r="G38" s="215">
        <f t="shared" si="5"/>
        <v>0.22589497988989535</v>
      </c>
      <c r="H38" s="123"/>
    </row>
    <row r="39" spans="1:8" ht="15.75" thickBot="1" x14ac:dyDescent="0.25">
      <c r="A39" s="133"/>
      <c r="B39" s="131"/>
      <c r="C39" s="204"/>
      <c r="D39" s="204"/>
      <c r="E39" s="204"/>
      <c r="F39" s="132"/>
      <c r="G39" s="215"/>
      <c r="H39" s="123"/>
    </row>
    <row r="40" spans="1:8" ht="17.25" thickTop="1" thickBot="1" x14ac:dyDescent="0.3">
      <c r="A40" s="141" t="s">
        <v>14</v>
      </c>
      <c r="B40" s="142"/>
      <c r="C40" s="206">
        <f>SUM(C31:C39)</f>
        <v>10950893</v>
      </c>
      <c r="D40" s="206">
        <f>SUM(D31:D39)</f>
        <v>2578882</v>
      </c>
      <c r="E40" s="206">
        <f>SUM(E31:E39)</f>
        <v>2656621</v>
      </c>
      <c r="F40" s="143">
        <f>(+D40-E40)/E40</f>
        <v>-2.9262359967793673E-2</v>
      </c>
      <c r="G40" s="217">
        <f>D40/C40</f>
        <v>0.23549513268004718</v>
      </c>
      <c r="H40" s="123"/>
    </row>
    <row r="41" spans="1:8" ht="15.75" thickTop="1" x14ac:dyDescent="0.2">
      <c r="A41" s="133"/>
      <c r="B41" s="134"/>
      <c r="C41" s="204"/>
      <c r="D41" s="204"/>
      <c r="E41" s="204"/>
      <c r="F41" s="132"/>
      <c r="G41" s="218"/>
      <c r="H41" s="123"/>
    </row>
    <row r="42" spans="1:8" ht="15.75" x14ac:dyDescent="0.25">
      <c r="A42" s="177" t="s">
        <v>59</v>
      </c>
      <c r="B42" s="131">
        <f>DATE(2021,7,1)</f>
        <v>44378</v>
      </c>
      <c r="C42" s="204">
        <v>13087616</v>
      </c>
      <c r="D42" s="204">
        <v>2503983</v>
      </c>
      <c r="E42" s="204">
        <v>1708169.06</v>
      </c>
      <c r="F42" s="132">
        <f t="shared" ref="F42:F49" si="6">(+D42-E42)/E42</f>
        <v>0.4658871060455807</v>
      </c>
      <c r="G42" s="215">
        <f t="shared" ref="G42:G49" si="7">D42/C42</f>
        <v>0.19132460793470712</v>
      </c>
      <c r="H42" s="123"/>
    </row>
    <row r="43" spans="1:8" ht="15.75" x14ac:dyDescent="0.25">
      <c r="A43" s="177"/>
      <c r="B43" s="131">
        <f>DATE(2021,8,1)</f>
        <v>44409</v>
      </c>
      <c r="C43" s="204">
        <v>12295504</v>
      </c>
      <c r="D43" s="204">
        <v>2387806</v>
      </c>
      <c r="E43" s="204">
        <v>2028826.5</v>
      </c>
      <c r="F43" s="132">
        <f t="shared" si="6"/>
        <v>0.1769394770819486</v>
      </c>
      <c r="G43" s="215">
        <f t="shared" si="7"/>
        <v>0.1942015553002138</v>
      </c>
      <c r="H43" s="123"/>
    </row>
    <row r="44" spans="1:8" ht="15.75" x14ac:dyDescent="0.25">
      <c r="A44" s="177"/>
      <c r="B44" s="131">
        <f>DATE(2021,9,1)</f>
        <v>44440</v>
      </c>
      <c r="C44" s="204">
        <v>13803172</v>
      </c>
      <c r="D44" s="204">
        <v>2689723.5</v>
      </c>
      <c r="E44" s="204">
        <v>2149169</v>
      </c>
      <c r="F44" s="132">
        <f t="shared" si="6"/>
        <v>0.25151791227213866</v>
      </c>
      <c r="G44" s="215">
        <f t="shared" si="7"/>
        <v>0.19486270981771436</v>
      </c>
      <c r="H44" s="123"/>
    </row>
    <row r="45" spans="1:8" ht="15.75" x14ac:dyDescent="0.25">
      <c r="A45" s="177"/>
      <c r="B45" s="131">
        <f>DATE(2021,10,1)</f>
        <v>44470</v>
      </c>
      <c r="C45" s="204">
        <v>13466637</v>
      </c>
      <c r="D45" s="204">
        <v>2470116.0299999998</v>
      </c>
      <c r="E45" s="204">
        <v>2042559.98</v>
      </c>
      <c r="F45" s="132">
        <f t="shared" si="6"/>
        <v>0.20932362045005887</v>
      </c>
      <c r="G45" s="215">
        <f t="shared" si="7"/>
        <v>0.18342486175278949</v>
      </c>
      <c r="H45" s="123"/>
    </row>
    <row r="46" spans="1:8" ht="15.75" x14ac:dyDescent="0.25">
      <c r="A46" s="177"/>
      <c r="B46" s="131">
        <f>DATE(2021,11,1)</f>
        <v>44501</v>
      </c>
      <c r="C46" s="204">
        <v>13753377</v>
      </c>
      <c r="D46" s="204">
        <v>3414579.43</v>
      </c>
      <c r="E46" s="204">
        <v>2060677.45</v>
      </c>
      <c r="F46" s="132">
        <f t="shared" si="6"/>
        <v>0.6570179044760257</v>
      </c>
      <c r="G46" s="215">
        <f t="shared" si="7"/>
        <v>0.24827207383321204</v>
      </c>
      <c r="H46" s="123"/>
    </row>
    <row r="47" spans="1:8" ht="15.75" x14ac:dyDescent="0.25">
      <c r="A47" s="177"/>
      <c r="B47" s="131">
        <f>DATE(2021,12,1)</f>
        <v>44531</v>
      </c>
      <c r="C47" s="204">
        <v>14064831.5</v>
      </c>
      <c r="D47" s="204">
        <v>3251944</v>
      </c>
      <c r="E47" s="204">
        <v>2612129.91</v>
      </c>
      <c r="F47" s="132">
        <f t="shared" si="6"/>
        <v>0.24493961328286304</v>
      </c>
      <c r="G47" s="215">
        <f t="shared" si="7"/>
        <v>0.23121101735203867</v>
      </c>
      <c r="H47" s="123"/>
    </row>
    <row r="48" spans="1:8" ht="15.75" x14ac:dyDescent="0.25">
      <c r="A48" s="177"/>
      <c r="B48" s="131">
        <f>DATE(2022,1,1)</f>
        <v>44562</v>
      </c>
      <c r="C48" s="204">
        <v>13221893</v>
      </c>
      <c r="D48" s="204">
        <v>3271232.5</v>
      </c>
      <c r="E48" s="204">
        <v>2320369.71</v>
      </c>
      <c r="F48" s="132">
        <f t="shared" si="6"/>
        <v>0.40978934775010489</v>
      </c>
      <c r="G48" s="215">
        <f t="shared" si="7"/>
        <v>0.24741029896399858</v>
      </c>
      <c r="H48" s="123"/>
    </row>
    <row r="49" spans="1:8" ht="15.75" x14ac:dyDescent="0.25">
      <c r="A49" s="177"/>
      <c r="B49" s="131">
        <f>DATE(2022,2,1)</f>
        <v>44593</v>
      </c>
      <c r="C49" s="204">
        <v>13097961</v>
      </c>
      <c r="D49" s="204">
        <v>2578515.35</v>
      </c>
      <c r="E49" s="204">
        <v>1688741</v>
      </c>
      <c r="F49" s="132">
        <f t="shared" si="6"/>
        <v>0.52688621286508708</v>
      </c>
      <c r="G49" s="215">
        <f t="shared" si="7"/>
        <v>0.1968638744610707</v>
      </c>
      <c r="H49" s="123"/>
    </row>
    <row r="50" spans="1:8" ht="15.75" customHeight="1" thickBot="1" x14ac:dyDescent="0.25">
      <c r="A50" s="133"/>
      <c r="B50" s="134"/>
      <c r="C50" s="204"/>
      <c r="D50" s="204"/>
      <c r="E50" s="204"/>
      <c r="F50" s="132"/>
      <c r="G50" s="215"/>
      <c r="H50" s="123"/>
    </row>
    <row r="51" spans="1:8" ht="17.25" customHeight="1" thickTop="1" thickBot="1" x14ac:dyDescent="0.3">
      <c r="A51" s="141" t="s">
        <v>14</v>
      </c>
      <c r="B51" s="142"/>
      <c r="C51" s="206">
        <f>SUM(C42:C50)</f>
        <v>106790991.5</v>
      </c>
      <c r="D51" s="206">
        <f>SUM(D42:D50)</f>
        <v>22567899.810000002</v>
      </c>
      <c r="E51" s="206">
        <f>SUM(E42:E50)</f>
        <v>16610642.609999999</v>
      </c>
      <c r="F51" s="143">
        <f>(+D51-E51)/E51</f>
        <v>0.35864098336650707</v>
      </c>
      <c r="G51" s="217">
        <f>D51/C51</f>
        <v>0.21132774865190762</v>
      </c>
      <c r="H51" s="123"/>
    </row>
    <row r="52" spans="1:8" ht="15.75" customHeight="1" thickTop="1" x14ac:dyDescent="0.2">
      <c r="A52" s="133"/>
      <c r="B52" s="134"/>
      <c r="C52" s="204"/>
      <c r="D52" s="204"/>
      <c r="E52" s="204"/>
      <c r="F52" s="132"/>
      <c r="G52" s="218"/>
      <c r="H52" s="123"/>
    </row>
    <row r="53" spans="1:8" ht="15" customHeight="1" x14ac:dyDescent="0.25">
      <c r="A53" s="130" t="s">
        <v>62</v>
      </c>
      <c r="B53" s="131">
        <f>DATE(2021,7,1)</f>
        <v>44378</v>
      </c>
      <c r="C53" s="204">
        <v>14071705.5</v>
      </c>
      <c r="D53" s="204">
        <v>3475895.5</v>
      </c>
      <c r="E53" s="204">
        <v>2410424.5</v>
      </c>
      <c r="F53" s="132">
        <f t="shared" ref="F53:F60" si="8">(+D53-E53)/E53</f>
        <v>0.44202629038992924</v>
      </c>
      <c r="G53" s="215">
        <f t="shared" ref="G53:G60" si="9">D53/C53</f>
        <v>0.2470130930468947</v>
      </c>
      <c r="H53" s="123"/>
    </row>
    <row r="54" spans="1:8" ht="15" customHeight="1" x14ac:dyDescent="0.25">
      <c r="A54" s="130"/>
      <c r="B54" s="131">
        <f>DATE(2021,8,1)</f>
        <v>44409</v>
      </c>
      <c r="C54" s="204">
        <v>13718026</v>
      </c>
      <c r="D54" s="204">
        <v>1742952</v>
      </c>
      <c r="E54" s="204">
        <v>3089213</v>
      </c>
      <c r="F54" s="132">
        <f t="shared" si="8"/>
        <v>-0.43579416505109875</v>
      </c>
      <c r="G54" s="215">
        <f t="shared" si="9"/>
        <v>0.1270555982325737</v>
      </c>
      <c r="H54" s="123"/>
    </row>
    <row r="55" spans="1:8" ht="15" customHeight="1" x14ac:dyDescent="0.25">
      <c r="A55" s="130"/>
      <c r="B55" s="131">
        <f>DATE(2021,9,1)</f>
        <v>44440</v>
      </c>
      <c r="C55" s="204">
        <v>12923567</v>
      </c>
      <c r="D55" s="204">
        <v>3305560.5</v>
      </c>
      <c r="E55" s="204">
        <v>3482637.89</v>
      </c>
      <c r="F55" s="132">
        <f t="shared" si="8"/>
        <v>-5.0845765650358823E-2</v>
      </c>
      <c r="G55" s="215">
        <f t="shared" si="9"/>
        <v>0.25577771988182518</v>
      </c>
      <c r="H55" s="123"/>
    </row>
    <row r="56" spans="1:8" ht="15" customHeight="1" x14ac:dyDescent="0.25">
      <c r="A56" s="130"/>
      <c r="B56" s="131">
        <f>DATE(2021,10,1)</f>
        <v>44470</v>
      </c>
      <c r="C56" s="204">
        <v>12696171.5</v>
      </c>
      <c r="D56" s="204">
        <v>3513957.5</v>
      </c>
      <c r="E56" s="204">
        <v>3513244</v>
      </c>
      <c r="F56" s="132">
        <f t="shared" si="8"/>
        <v>2.0308865538516539E-4</v>
      </c>
      <c r="G56" s="215">
        <f t="shared" si="9"/>
        <v>0.27677300200300542</v>
      </c>
      <c r="H56" s="123"/>
    </row>
    <row r="57" spans="1:8" ht="15" customHeight="1" x14ac:dyDescent="0.25">
      <c r="A57" s="130"/>
      <c r="B57" s="131">
        <f>DATE(2021,11,1)</f>
        <v>44501</v>
      </c>
      <c r="C57" s="204">
        <v>13220454</v>
      </c>
      <c r="D57" s="204">
        <v>3943943</v>
      </c>
      <c r="E57" s="204">
        <v>2437183.5</v>
      </c>
      <c r="F57" s="132">
        <f t="shared" si="8"/>
        <v>0.61823801941872658</v>
      </c>
      <c r="G57" s="215">
        <f t="shared" si="9"/>
        <v>0.2983212981944493</v>
      </c>
      <c r="H57" s="123"/>
    </row>
    <row r="58" spans="1:8" ht="15" customHeight="1" x14ac:dyDescent="0.25">
      <c r="A58" s="130"/>
      <c r="B58" s="131">
        <f>DATE(2021,12,1)</f>
        <v>44531</v>
      </c>
      <c r="C58" s="204">
        <v>14266562</v>
      </c>
      <c r="D58" s="204">
        <v>2827634.5</v>
      </c>
      <c r="E58" s="204">
        <v>2589172</v>
      </c>
      <c r="F58" s="132">
        <f t="shared" si="8"/>
        <v>9.2099906842805349E-2</v>
      </c>
      <c r="G58" s="215">
        <f t="shared" si="9"/>
        <v>0.19820013399163722</v>
      </c>
      <c r="H58" s="123"/>
    </row>
    <row r="59" spans="1:8" ht="15" customHeight="1" x14ac:dyDescent="0.25">
      <c r="A59" s="130"/>
      <c r="B59" s="131">
        <f>DATE(2022,1,1)</f>
        <v>44562</v>
      </c>
      <c r="C59" s="204">
        <v>15062919</v>
      </c>
      <c r="D59" s="204">
        <v>3537082.5</v>
      </c>
      <c r="E59" s="204">
        <v>3152748</v>
      </c>
      <c r="F59" s="132">
        <f t="shared" si="8"/>
        <v>0.12190460512543343</v>
      </c>
      <c r="G59" s="215">
        <f t="shared" si="9"/>
        <v>0.23482052183909374</v>
      </c>
      <c r="H59" s="123"/>
    </row>
    <row r="60" spans="1:8" ht="15" customHeight="1" x14ac:dyDescent="0.25">
      <c r="A60" s="130"/>
      <c r="B60" s="131">
        <f>DATE(2022,2,1)</f>
        <v>44593</v>
      </c>
      <c r="C60" s="204">
        <v>12090471.25</v>
      </c>
      <c r="D60" s="204">
        <v>1988046.25</v>
      </c>
      <c r="E60" s="204">
        <v>2941714</v>
      </c>
      <c r="F60" s="132">
        <f t="shared" si="8"/>
        <v>-0.32418778644015017</v>
      </c>
      <c r="G60" s="215">
        <f t="shared" si="9"/>
        <v>0.16443083225560789</v>
      </c>
      <c r="H60" s="123"/>
    </row>
    <row r="61" spans="1:8" ht="15.75" thickBot="1" x14ac:dyDescent="0.25">
      <c r="A61" s="133"/>
      <c r="B61" s="131"/>
      <c r="C61" s="204"/>
      <c r="D61" s="204"/>
      <c r="E61" s="204"/>
      <c r="F61" s="132"/>
      <c r="G61" s="215"/>
      <c r="H61" s="123"/>
    </row>
    <row r="62" spans="1:8" ht="17.25" customHeight="1" thickTop="1" thickBot="1" x14ac:dyDescent="0.3">
      <c r="A62" s="141" t="s">
        <v>14</v>
      </c>
      <c r="B62" s="142"/>
      <c r="C62" s="207">
        <f>SUM(C53:C61)</f>
        <v>108049876.25</v>
      </c>
      <c r="D62" s="261">
        <f>SUM(D53:D61)</f>
        <v>24335071.75</v>
      </c>
      <c r="E62" s="206">
        <f>SUM(E53:E61)</f>
        <v>23616336.890000001</v>
      </c>
      <c r="F62" s="268">
        <f>(+D62-E62)/E62</f>
        <v>3.0433799422311652E-2</v>
      </c>
      <c r="G62" s="267">
        <f>D62/C62</f>
        <v>0.22522072763595599</v>
      </c>
      <c r="H62" s="123"/>
    </row>
    <row r="63" spans="1:8" ht="15.75" customHeight="1" thickTop="1" x14ac:dyDescent="0.25">
      <c r="A63" s="130"/>
      <c r="B63" s="134"/>
      <c r="C63" s="204"/>
      <c r="D63" s="204"/>
      <c r="E63" s="204"/>
      <c r="F63" s="132"/>
      <c r="G63" s="218"/>
      <c r="H63" s="123"/>
    </row>
    <row r="64" spans="1:8" ht="15.75" x14ac:dyDescent="0.25">
      <c r="A64" s="130" t="s">
        <v>66</v>
      </c>
      <c r="B64" s="131">
        <f>DATE(2021,7,1)</f>
        <v>44378</v>
      </c>
      <c r="C64" s="204">
        <v>3514368</v>
      </c>
      <c r="D64" s="204">
        <v>729030</v>
      </c>
      <c r="E64" s="204">
        <v>572750</v>
      </c>
      <c r="F64" s="132">
        <f t="shared" ref="F64:F71" si="10">(+D64-E64)/E64</f>
        <v>0.27285901353120906</v>
      </c>
      <c r="G64" s="215">
        <f t="shared" ref="G64:G71" si="11">D64/C64</f>
        <v>0.2074427037805944</v>
      </c>
      <c r="H64" s="123"/>
    </row>
    <row r="65" spans="1:8" ht="15.75" x14ac:dyDescent="0.25">
      <c r="A65" s="130"/>
      <c r="B65" s="131">
        <f>DATE(2021,8,1)</f>
        <v>44409</v>
      </c>
      <c r="C65" s="204">
        <v>2699849</v>
      </c>
      <c r="D65" s="204">
        <v>844084.5</v>
      </c>
      <c r="E65" s="204">
        <v>629353.5</v>
      </c>
      <c r="F65" s="132">
        <f t="shared" si="10"/>
        <v>0.34119298613577265</v>
      </c>
      <c r="G65" s="215">
        <f t="shared" si="11"/>
        <v>0.31264137364719286</v>
      </c>
      <c r="H65" s="123"/>
    </row>
    <row r="66" spans="1:8" ht="15.75" x14ac:dyDescent="0.25">
      <c r="A66" s="130"/>
      <c r="B66" s="131">
        <f>DATE(2021,9,1)</f>
        <v>44440</v>
      </c>
      <c r="C66" s="204">
        <v>2582290</v>
      </c>
      <c r="D66" s="204">
        <v>707619</v>
      </c>
      <c r="E66" s="204">
        <v>564621.5</v>
      </c>
      <c r="F66" s="132">
        <f t="shared" si="10"/>
        <v>0.2532625838725589</v>
      </c>
      <c r="G66" s="215">
        <f t="shared" si="11"/>
        <v>0.27402770409210431</v>
      </c>
      <c r="H66" s="123"/>
    </row>
    <row r="67" spans="1:8" ht="15.75" x14ac:dyDescent="0.25">
      <c r="A67" s="130"/>
      <c r="B67" s="131">
        <f>DATE(2021,10,1)</f>
        <v>44470</v>
      </c>
      <c r="C67" s="204">
        <v>2647781</v>
      </c>
      <c r="D67" s="204">
        <v>435392</v>
      </c>
      <c r="E67" s="204">
        <v>553335.5</v>
      </c>
      <c r="F67" s="132">
        <f t="shared" si="10"/>
        <v>-0.21315006899069372</v>
      </c>
      <c r="G67" s="215">
        <f t="shared" si="11"/>
        <v>0.16443656027443357</v>
      </c>
      <c r="H67" s="123"/>
    </row>
    <row r="68" spans="1:8" ht="15.75" x14ac:dyDescent="0.25">
      <c r="A68" s="130"/>
      <c r="B68" s="131">
        <f>DATE(2021,11,1)</f>
        <v>44501</v>
      </c>
      <c r="C68" s="204">
        <v>2909471</v>
      </c>
      <c r="D68" s="204">
        <v>706210</v>
      </c>
      <c r="E68" s="204">
        <v>402553.5</v>
      </c>
      <c r="F68" s="132">
        <f t="shared" si="10"/>
        <v>0.75432582253042146</v>
      </c>
      <c r="G68" s="215">
        <f t="shared" si="11"/>
        <v>0.24272797357320283</v>
      </c>
      <c r="H68" s="123"/>
    </row>
    <row r="69" spans="1:8" ht="15.75" x14ac:dyDescent="0.25">
      <c r="A69" s="130"/>
      <c r="B69" s="131">
        <f>DATE(2021,12,1)</f>
        <v>44531</v>
      </c>
      <c r="C69" s="204">
        <v>3194523</v>
      </c>
      <c r="D69" s="204">
        <v>737876.5</v>
      </c>
      <c r="E69" s="204">
        <v>614666.5</v>
      </c>
      <c r="F69" s="132">
        <f t="shared" si="10"/>
        <v>0.20045016281186628</v>
      </c>
      <c r="G69" s="215">
        <f t="shared" si="11"/>
        <v>0.23098174594454321</v>
      </c>
      <c r="H69" s="123"/>
    </row>
    <row r="70" spans="1:8" ht="15.75" x14ac:dyDescent="0.25">
      <c r="A70" s="130"/>
      <c r="B70" s="131">
        <f>DATE(2022,1,1)</f>
        <v>44562</v>
      </c>
      <c r="C70" s="204">
        <v>2693167</v>
      </c>
      <c r="D70" s="204">
        <v>670212</v>
      </c>
      <c r="E70" s="204">
        <v>697063</v>
      </c>
      <c r="F70" s="132">
        <f t="shared" si="10"/>
        <v>-3.8520191144846304E-2</v>
      </c>
      <c r="G70" s="215">
        <f t="shared" si="11"/>
        <v>0.24885645784312671</v>
      </c>
      <c r="H70" s="123"/>
    </row>
    <row r="71" spans="1:8" ht="15.75" x14ac:dyDescent="0.25">
      <c r="A71" s="130"/>
      <c r="B71" s="131">
        <f>DATE(2022,2,1)</f>
        <v>44593</v>
      </c>
      <c r="C71" s="204">
        <v>2573481</v>
      </c>
      <c r="D71" s="204">
        <v>521651.5</v>
      </c>
      <c r="E71" s="204">
        <v>596898</v>
      </c>
      <c r="F71" s="132">
        <f t="shared" si="10"/>
        <v>-0.12606257685567718</v>
      </c>
      <c r="G71" s="215">
        <f t="shared" si="11"/>
        <v>0.20270268169844657</v>
      </c>
      <c r="H71" s="123"/>
    </row>
    <row r="72" spans="1:8" ht="15.75" customHeight="1" thickBot="1" x14ac:dyDescent="0.3">
      <c r="A72" s="130"/>
      <c r="B72" s="131"/>
      <c r="C72" s="204"/>
      <c r="D72" s="204"/>
      <c r="E72" s="204"/>
      <c r="F72" s="132"/>
      <c r="G72" s="215"/>
      <c r="H72" s="123"/>
    </row>
    <row r="73" spans="1:8" ht="17.25" thickTop="1" thickBot="1" x14ac:dyDescent="0.3">
      <c r="A73" s="141" t="s">
        <v>14</v>
      </c>
      <c r="B73" s="142"/>
      <c r="C73" s="207">
        <f>SUM(C64:C72)</f>
        <v>22814930</v>
      </c>
      <c r="D73" s="261">
        <f>SUM(D64:D72)</f>
        <v>5352075.5</v>
      </c>
      <c r="E73" s="207">
        <f>SUM(E64:E72)</f>
        <v>4631241.5</v>
      </c>
      <c r="F73" s="268">
        <f>(+D73-E73)/E73</f>
        <v>0.1556459536821822</v>
      </c>
      <c r="G73" s="267">
        <f>D73/C73</f>
        <v>0.23458654048029076</v>
      </c>
      <c r="H73" s="123"/>
    </row>
    <row r="74" spans="1:8" ht="15.75" customHeight="1" thickTop="1" x14ac:dyDescent="0.25">
      <c r="A74" s="130"/>
      <c r="B74" s="134"/>
      <c r="C74" s="204"/>
      <c r="D74" s="204"/>
      <c r="E74" s="204"/>
      <c r="F74" s="132"/>
      <c r="G74" s="218"/>
      <c r="H74" s="123"/>
    </row>
    <row r="75" spans="1:8" ht="15.75" x14ac:dyDescent="0.25">
      <c r="A75" s="130" t="s">
        <v>70</v>
      </c>
      <c r="B75" s="131">
        <f>DATE(2021,7,1)</f>
        <v>44378</v>
      </c>
      <c r="C75" s="204">
        <v>6154700</v>
      </c>
      <c r="D75" s="204">
        <v>1067621</v>
      </c>
      <c r="E75" s="204">
        <v>248731.5</v>
      </c>
      <c r="F75" s="132">
        <f t="shared" ref="F75:F82" si="12">(+D75-E75)/E75</f>
        <v>3.2922629421685632</v>
      </c>
      <c r="G75" s="215">
        <f t="shared" ref="G75:G82" si="13">D75/C75</f>
        <v>0.17346434432222529</v>
      </c>
      <c r="H75" s="123"/>
    </row>
    <row r="76" spans="1:8" ht="15.75" x14ac:dyDescent="0.25">
      <c r="A76" s="130"/>
      <c r="B76" s="131">
        <f>DATE(2021,8,1)</f>
        <v>44409</v>
      </c>
      <c r="C76" s="204">
        <v>5891930</v>
      </c>
      <c r="D76" s="204">
        <v>666603.5</v>
      </c>
      <c r="E76" s="204">
        <v>268487</v>
      </c>
      <c r="F76" s="132">
        <f t="shared" si="12"/>
        <v>1.4828148104005037</v>
      </c>
      <c r="G76" s="215">
        <f t="shared" si="13"/>
        <v>0.11313839438010974</v>
      </c>
      <c r="H76" s="123"/>
    </row>
    <row r="77" spans="1:8" ht="15.75" x14ac:dyDescent="0.25">
      <c r="A77" s="130"/>
      <c r="B77" s="131">
        <f>DATE(2021,9,1)</f>
        <v>44440</v>
      </c>
      <c r="C77" s="204">
        <v>7061445</v>
      </c>
      <c r="D77" s="204">
        <v>1135711.5</v>
      </c>
      <c r="E77" s="204">
        <v>277957.5</v>
      </c>
      <c r="F77" s="132">
        <f t="shared" si="12"/>
        <v>3.0859178111761691</v>
      </c>
      <c r="G77" s="215">
        <f t="shared" si="13"/>
        <v>0.16083273324369163</v>
      </c>
      <c r="H77" s="123"/>
    </row>
    <row r="78" spans="1:8" ht="15.75" x14ac:dyDescent="0.25">
      <c r="A78" s="130"/>
      <c r="B78" s="131">
        <f>DATE(2021,10,1)</f>
        <v>44470</v>
      </c>
      <c r="C78" s="204">
        <v>7202787</v>
      </c>
      <c r="D78" s="204">
        <v>1168170.5</v>
      </c>
      <c r="E78" s="204">
        <v>306011.5</v>
      </c>
      <c r="F78" s="132">
        <f t="shared" si="12"/>
        <v>2.8174071889455137</v>
      </c>
      <c r="G78" s="215">
        <f t="shared" si="13"/>
        <v>0.16218312439337718</v>
      </c>
      <c r="H78" s="123"/>
    </row>
    <row r="79" spans="1:8" ht="15.75" x14ac:dyDescent="0.25">
      <c r="A79" s="130"/>
      <c r="B79" s="131">
        <f>DATE(2021,11,1)</f>
        <v>44501</v>
      </c>
      <c r="C79" s="204">
        <v>6938331</v>
      </c>
      <c r="D79" s="204">
        <v>1094072</v>
      </c>
      <c r="E79" s="204">
        <v>264033.5</v>
      </c>
      <c r="F79" s="132">
        <f t="shared" si="12"/>
        <v>3.1436863125323113</v>
      </c>
      <c r="G79" s="215">
        <f t="shared" si="13"/>
        <v>0.15768518394409262</v>
      </c>
      <c r="H79" s="123"/>
    </row>
    <row r="80" spans="1:8" ht="15.75" x14ac:dyDescent="0.25">
      <c r="A80" s="130"/>
      <c r="B80" s="131">
        <f>DATE(2021,12,1)</f>
        <v>44531</v>
      </c>
      <c r="C80" s="204">
        <v>7475553</v>
      </c>
      <c r="D80" s="204">
        <v>924398</v>
      </c>
      <c r="E80" s="204">
        <v>310571</v>
      </c>
      <c r="F80" s="132">
        <f t="shared" si="12"/>
        <v>1.976446609631936</v>
      </c>
      <c r="G80" s="215">
        <f t="shared" si="13"/>
        <v>0.12365613620825108</v>
      </c>
      <c r="H80" s="123"/>
    </row>
    <row r="81" spans="1:8" ht="15.75" x14ac:dyDescent="0.25">
      <c r="A81" s="130"/>
      <c r="B81" s="131">
        <f>DATE(2022,1,1)</f>
        <v>44562</v>
      </c>
      <c r="C81" s="204">
        <v>6391156</v>
      </c>
      <c r="D81" s="204">
        <v>1117761</v>
      </c>
      <c r="E81" s="204">
        <v>371981</v>
      </c>
      <c r="F81" s="132">
        <f t="shared" si="12"/>
        <v>2.0048873463967247</v>
      </c>
      <c r="G81" s="215">
        <f t="shared" si="13"/>
        <v>0.17489183490435847</v>
      </c>
      <c r="H81" s="123"/>
    </row>
    <row r="82" spans="1:8" ht="15.75" x14ac:dyDescent="0.25">
      <c r="A82" s="130"/>
      <c r="B82" s="131">
        <f>DATE(2022,2,1)</f>
        <v>44593</v>
      </c>
      <c r="C82" s="204">
        <v>6103967</v>
      </c>
      <c r="D82" s="204">
        <v>934678</v>
      </c>
      <c r="E82" s="204">
        <v>412016.5</v>
      </c>
      <c r="F82" s="132">
        <f t="shared" si="12"/>
        <v>1.2685450704037338</v>
      </c>
      <c r="G82" s="215">
        <f t="shared" si="13"/>
        <v>0.15312631932643148</v>
      </c>
      <c r="H82" s="123"/>
    </row>
    <row r="83" spans="1:8" ht="15.75" customHeight="1" thickBot="1" x14ac:dyDescent="0.3">
      <c r="A83" s="130"/>
      <c r="B83" s="131"/>
      <c r="C83" s="204"/>
      <c r="D83" s="204"/>
      <c r="E83" s="204"/>
      <c r="F83" s="132"/>
      <c r="G83" s="215"/>
      <c r="H83" s="123"/>
    </row>
    <row r="84" spans="1:8" ht="17.25" thickTop="1" thickBot="1" x14ac:dyDescent="0.3">
      <c r="A84" s="141" t="s">
        <v>14</v>
      </c>
      <c r="B84" s="142"/>
      <c r="C84" s="207">
        <f>SUM(C75:C83)</f>
        <v>53219869</v>
      </c>
      <c r="D84" s="261">
        <f>SUM(D75:D83)</f>
        <v>8109015.5</v>
      </c>
      <c r="E84" s="207">
        <f>SUM(E75:E83)</f>
        <v>2459789.5</v>
      </c>
      <c r="F84" s="269">
        <f>(+D84-E84)/E84</f>
        <v>2.2966298538960346</v>
      </c>
      <c r="G84" s="267">
        <f>D84/C84</f>
        <v>0.15236819729864423</v>
      </c>
      <c r="H84" s="123"/>
    </row>
    <row r="85" spans="1:8" ht="15.75" customHeight="1" thickTop="1" x14ac:dyDescent="0.25">
      <c r="A85" s="130"/>
      <c r="B85" s="139"/>
      <c r="C85" s="205"/>
      <c r="D85" s="205"/>
      <c r="E85" s="205"/>
      <c r="F85" s="140"/>
      <c r="G85" s="216"/>
      <c r="H85" s="123"/>
    </row>
    <row r="86" spans="1:8" ht="15.75" x14ac:dyDescent="0.25">
      <c r="A86" s="130" t="s">
        <v>52</v>
      </c>
      <c r="B86" s="131">
        <f>DATE(2021,7,1)</f>
        <v>44378</v>
      </c>
      <c r="C86" s="204">
        <v>6084758</v>
      </c>
      <c r="D86" s="204">
        <v>1287648</v>
      </c>
      <c r="E86" s="204">
        <v>671384</v>
      </c>
      <c r="F86" s="132">
        <f t="shared" ref="F86:F93" si="14">(+D86-E86)/E86</f>
        <v>0.91790093299810538</v>
      </c>
      <c r="G86" s="215">
        <f t="shared" ref="G86:G93" si="15">D86/C86</f>
        <v>0.21161860504559096</v>
      </c>
      <c r="H86" s="123"/>
    </row>
    <row r="87" spans="1:8" ht="15.75" x14ac:dyDescent="0.25">
      <c r="A87" s="130"/>
      <c r="B87" s="131">
        <f>DATE(2021,8,1)</f>
        <v>44409</v>
      </c>
      <c r="C87" s="204">
        <v>5252172</v>
      </c>
      <c r="D87" s="204">
        <v>1323019.5</v>
      </c>
      <c r="E87" s="204">
        <v>647438.06000000006</v>
      </c>
      <c r="F87" s="132">
        <f t="shared" si="14"/>
        <v>1.043468837775771</v>
      </c>
      <c r="G87" s="215">
        <f t="shared" si="15"/>
        <v>0.25189949986405624</v>
      </c>
      <c r="H87" s="123"/>
    </row>
    <row r="88" spans="1:8" ht="15.75" x14ac:dyDescent="0.25">
      <c r="A88" s="130"/>
      <c r="B88" s="131">
        <f>DATE(2021,9,1)</f>
        <v>44440</v>
      </c>
      <c r="C88" s="204">
        <v>4855923</v>
      </c>
      <c r="D88" s="204">
        <v>858985.36</v>
      </c>
      <c r="E88" s="204">
        <v>476389</v>
      </c>
      <c r="F88" s="132">
        <f t="shared" si="14"/>
        <v>0.80311753629911686</v>
      </c>
      <c r="G88" s="215">
        <f t="shared" si="15"/>
        <v>0.17689435355544147</v>
      </c>
      <c r="H88" s="123"/>
    </row>
    <row r="89" spans="1:8" ht="15.75" x14ac:dyDescent="0.25">
      <c r="A89" s="130"/>
      <c r="B89" s="131">
        <f>DATE(2021,10,1)</f>
        <v>44470</v>
      </c>
      <c r="C89" s="204">
        <v>5531948</v>
      </c>
      <c r="D89" s="204">
        <v>980676.58</v>
      </c>
      <c r="E89" s="204">
        <v>822284.63</v>
      </c>
      <c r="F89" s="132">
        <f t="shared" si="14"/>
        <v>0.19262423766816603</v>
      </c>
      <c r="G89" s="215">
        <f t="shared" si="15"/>
        <v>0.17727509007676862</v>
      </c>
      <c r="H89" s="123"/>
    </row>
    <row r="90" spans="1:8" ht="15.75" x14ac:dyDescent="0.25">
      <c r="A90" s="130"/>
      <c r="B90" s="131">
        <f>DATE(2021,11,1)</f>
        <v>44501</v>
      </c>
      <c r="C90" s="204">
        <v>4904264</v>
      </c>
      <c r="D90" s="204">
        <v>1337612.57</v>
      </c>
      <c r="E90" s="204">
        <v>587592.5</v>
      </c>
      <c r="F90" s="132">
        <f t="shared" si="14"/>
        <v>1.2764289367206016</v>
      </c>
      <c r="G90" s="215">
        <f t="shared" si="15"/>
        <v>0.27274481349291146</v>
      </c>
      <c r="H90" s="123"/>
    </row>
    <row r="91" spans="1:8" ht="15.75" x14ac:dyDescent="0.25">
      <c r="A91" s="130"/>
      <c r="B91" s="131">
        <f>DATE(2021,12,1)</f>
        <v>44531</v>
      </c>
      <c r="C91" s="204">
        <v>5252655</v>
      </c>
      <c r="D91" s="204">
        <v>927044</v>
      </c>
      <c r="E91" s="204">
        <v>844069.86</v>
      </c>
      <c r="F91" s="132">
        <f t="shared" si="14"/>
        <v>9.830245567588447E-2</v>
      </c>
      <c r="G91" s="215">
        <f t="shared" si="15"/>
        <v>0.17649055572848399</v>
      </c>
      <c r="H91" s="123"/>
    </row>
    <row r="92" spans="1:8" ht="15.75" x14ac:dyDescent="0.25">
      <c r="A92" s="130"/>
      <c r="B92" s="131">
        <f>DATE(2022,1,1)</f>
        <v>44562</v>
      </c>
      <c r="C92" s="204">
        <v>4730977</v>
      </c>
      <c r="D92" s="204">
        <v>922135.79</v>
      </c>
      <c r="E92" s="204">
        <v>1044151.5</v>
      </c>
      <c r="F92" s="132">
        <f t="shared" si="14"/>
        <v>-0.11685632784131418</v>
      </c>
      <c r="G92" s="215">
        <f t="shared" si="15"/>
        <v>0.19491445213113487</v>
      </c>
      <c r="H92" s="123"/>
    </row>
    <row r="93" spans="1:8" ht="15.75" x14ac:dyDescent="0.25">
      <c r="A93" s="130"/>
      <c r="B93" s="131">
        <f>DATE(2022,2,1)</f>
        <v>44593</v>
      </c>
      <c r="C93" s="204">
        <v>5193592</v>
      </c>
      <c r="D93" s="204">
        <v>1013590.48</v>
      </c>
      <c r="E93" s="204">
        <v>1000996.5</v>
      </c>
      <c r="F93" s="132">
        <f t="shared" si="14"/>
        <v>1.2581442592456598E-2</v>
      </c>
      <c r="G93" s="215">
        <f t="shared" si="15"/>
        <v>0.195161745474038</v>
      </c>
      <c r="H93" s="123"/>
    </row>
    <row r="94" spans="1:8" ht="15.75" customHeight="1" thickBot="1" x14ac:dyDescent="0.3">
      <c r="A94" s="130"/>
      <c r="B94" s="131"/>
      <c r="C94" s="204"/>
      <c r="D94" s="204"/>
      <c r="E94" s="204"/>
      <c r="F94" s="132"/>
      <c r="G94" s="215"/>
      <c r="H94" s="123"/>
    </row>
    <row r="95" spans="1:8" ht="17.25" thickTop="1" thickBot="1" x14ac:dyDescent="0.3">
      <c r="A95" s="141" t="s">
        <v>14</v>
      </c>
      <c r="B95" s="142"/>
      <c r="C95" s="206">
        <f>SUM(C86:C94)</f>
        <v>41806289</v>
      </c>
      <c r="D95" s="206">
        <f>SUM(D86:D94)</f>
        <v>8650712.2799999993</v>
      </c>
      <c r="E95" s="206">
        <f>SUM(E86:E94)</f>
        <v>6094306.0499999998</v>
      </c>
      <c r="F95" s="143">
        <f>(+D95-E95)/E95</f>
        <v>0.41947454050162114</v>
      </c>
      <c r="G95" s="217">
        <f>D95/C95</f>
        <v>0.20692370662222612</v>
      </c>
      <c r="H95" s="123"/>
    </row>
    <row r="96" spans="1:8" ht="15.75" customHeight="1" thickTop="1" x14ac:dyDescent="0.25">
      <c r="A96" s="138"/>
      <c r="B96" s="139"/>
      <c r="C96" s="205"/>
      <c r="D96" s="205"/>
      <c r="E96" s="205"/>
      <c r="F96" s="140"/>
      <c r="G96" s="216"/>
      <c r="H96" s="123"/>
    </row>
    <row r="97" spans="1:8" ht="15.75" x14ac:dyDescent="0.25">
      <c r="A97" s="130" t="s">
        <v>16</v>
      </c>
      <c r="B97" s="131">
        <f>DATE(2021,7,1)</f>
        <v>44378</v>
      </c>
      <c r="C97" s="204">
        <v>10188404</v>
      </c>
      <c r="D97" s="204">
        <v>1960105</v>
      </c>
      <c r="E97" s="204">
        <v>1702806.5</v>
      </c>
      <c r="F97" s="132">
        <f t="shared" ref="F97:F104" si="16">(+D97-E97)/E97</f>
        <v>0.15110260619747459</v>
      </c>
      <c r="G97" s="215">
        <f t="shared" ref="G97:G104" si="17">D97/C97</f>
        <v>0.19238587319466327</v>
      </c>
      <c r="H97" s="123"/>
    </row>
    <row r="98" spans="1:8" ht="15.75" x14ac:dyDescent="0.25">
      <c r="A98" s="130"/>
      <c r="B98" s="131">
        <f>DATE(2021,8,1)</f>
        <v>44409</v>
      </c>
      <c r="C98" s="204">
        <v>8876957</v>
      </c>
      <c r="D98" s="204">
        <v>2276188.5</v>
      </c>
      <c r="E98" s="204">
        <v>1570570.5</v>
      </c>
      <c r="F98" s="132">
        <f t="shared" si="16"/>
        <v>0.44927496091388447</v>
      </c>
      <c r="G98" s="215">
        <f t="shared" si="17"/>
        <v>0.25641540226003123</v>
      </c>
      <c r="H98" s="123"/>
    </row>
    <row r="99" spans="1:8" ht="15.75" x14ac:dyDescent="0.25">
      <c r="A99" s="130"/>
      <c r="B99" s="131">
        <f>DATE(2021,9,1)</f>
        <v>44440</v>
      </c>
      <c r="C99" s="204">
        <v>8784096</v>
      </c>
      <c r="D99" s="204">
        <v>937001</v>
      </c>
      <c r="E99" s="204">
        <v>1447626.5</v>
      </c>
      <c r="F99" s="132">
        <f t="shared" si="16"/>
        <v>-0.35273290451646194</v>
      </c>
      <c r="G99" s="215">
        <f t="shared" si="17"/>
        <v>0.10667016844988944</v>
      </c>
      <c r="H99" s="123"/>
    </row>
    <row r="100" spans="1:8" ht="15.75" x14ac:dyDescent="0.25">
      <c r="A100" s="130"/>
      <c r="B100" s="131">
        <f>DATE(2021,10,1)</f>
        <v>44470</v>
      </c>
      <c r="C100" s="204">
        <v>9422231</v>
      </c>
      <c r="D100" s="204">
        <v>1775955</v>
      </c>
      <c r="E100" s="204">
        <v>1659455</v>
      </c>
      <c r="F100" s="132">
        <f t="shared" si="16"/>
        <v>7.0203771720233454E-2</v>
      </c>
      <c r="G100" s="215">
        <f t="shared" si="17"/>
        <v>0.18848561450042989</v>
      </c>
      <c r="H100" s="123"/>
    </row>
    <row r="101" spans="1:8" ht="15.75" x14ac:dyDescent="0.25">
      <c r="A101" s="130"/>
      <c r="B101" s="131">
        <f>DATE(2021,11,1)</f>
        <v>44501</v>
      </c>
      <c r="C101" s="204">
        <v>10195584</v>
      </c>
      <c r="D101" s="204">
        <v>2249032.5</v>
      </c>
      <c r="E101" s="204">
        <v>1564224</v>
      </c>
      <c r="F101" s="132">
        <f t="shared" si="16"/>
        <v>0.43779439517613844</v>
      </c>
      <c r="G101" s="215">
        <f t="shared" si="17"/>
        <v>0.22058888436405408</v>
      </c>
      <c r="H101" s="123"/>
    </row>
    <row r="102" spans="1:8" ht="15.75" x14ac:dyDescent="0.25">
      <c r="A102" s="130"/>
      <c r="B102" s="131">
        <f>DATE(2021,12,1)</f>
        <v>44531</v>
      </c>
      <c r="C102" s="204">
        <v>10435449</v>
      </c>
      <c r="D102" s="204">
        <v>1878218</v>
      </c>
      <c r="E102" s="204">
        <v>1930831.5</v>
      </c>
      <c r="F102" s="132">
        <f t="shared" si="16"/>
        <v>-2.7249141108377402E-2</v>
      </c>
      <c r="G102" s="215">
        <f t="shared" si="17"/>
        <v>0.17998439741308686</v>
      </c>
      <c r="H102" s="123"/>
    </row>
    <row r="103" spans="1:8" ht="15.75" x14ac:dyDescent="0.25">
      <c r="A103" s="130"/>
      <c r="B103" s="131">
        <f>DATE(2022,1,1)</f>
        <v>44562</v>
      </c>
      <c r="C103" s="204">
        <v>9421097</v>
      </c>
      <c r="D103" s="204">
        <v>1684861.5</v>
      </c>
      <c r="E103" s="204">
        <v>2028934.5</v>
      </c>
      <c r="F103" s="132">
        <f t="shared" si="16"/>
        <v>-0.16958309891226159</v>
      </c>
      <c r="G103" s="215">
        <f t="shared" si="17"/>
        <v>0.17883920524329597</v>
      </c>
      <c r="H103" s="123"/>
    </row>
    <row r="104" spans="1:8" ht="15.75" x14ac:dyDescent="0.25">
      <c r="A104" s="130"/>
      <c r="B104" s="131">
        <f>DATE(2022,2,1)</f>
        <v>44593</v>
      </c>
      <c r="C104" s="204">
        <v>9395663</v>
      </c>
      <c r="D104" s="204">
        <v>1861049</v>
      </c>
      <c r="E104" s="204">
        <v>1539079.5</v>
      </c>
      <c r="F104" s="132">
        <f t="shared" si="16"/>
        <v>0.20919614613800003</v>
      </c>
      <c r="G104" s="215">
        <f t="shared" si="17"/>
        <v>0.19807532475355916</v>
      </c>
      <c r="H104" s="123"/>
    </row>
    <row r="105" spans="1:8" ht="15.75" customHeight="1" thickBot="1" x14ac:dyDescent="0.3">
      <c r="A105" s="130"/>
      <c r="B105" s="131"/>
      <c r="C105" s="204"/>
      <c r="D105" s="204"/>
      <c r="E105" s="204"/>
      <c r="F105" s="132"/>
      <c r="G105" s="215"/>
      <c r="H105" s="123"/>
    </row>
    <row r="106" spans="1:8" ht="17.25" thickTop="1" thickBot="1" x14ac:dyDescent="0.3">
      <c r="A106" s="141" t="s">
        <v>14</v>
      </c>
      <c r="B106" s="142"/>
      <c r="C106" s="206">
        <f>SUM(C97:C105)</f>
        <v>76719481</v>
      </c>
      <c r="D106" s="206">
        <f>SUM(D97:D105)</f>
        <v>14622410.5</v>
      </c>
      <c r="E106" s="206">
        <f>SUM(E97:E105)</f>
        <v>13443528</v>
      </c>
      <c r="F106" s="143">
        <f>(+D106-E106)/E106</f>
        <v>8.7691452719851515E-2</v>
      </c>
      <c r="G106" s="217">
        <f>D106/C106</f>
        <v>0.19059579534955404</v>
      </c>
      <c r="H106" s="123"/>
    </row>
    <row r="107" spans="1:8" ht="15.75" customHeight="1" thickTop="1" x14ac:dyDescent="0.25">
      <c r="A107" s="138"/>
      <c r="B107" s="139"/>
      <c r="C107" s="205"/>
      <c r="D107" s="205"/>
      <c r="E107" s="205"/>
      <c r="F107" s="140"/>
      <c r="G107" s="216"/>
      <c r="H107" s="123"/>
    </row>
    <row r="108" spans="1:8" ht="15.75" x14ac:dyDescent="0.25">
      <c r="A108" s="130" t="s">
        <v>54</v>
      </c>
      <c r="B108" s="131">
        <f>DATE(2021,7,1)</f>
        <v>44378</v>
      </c>
      <c r="C108" s="204">
        <v>12892239.5</v>
      </c>
      <c r="D108" s="204">
        <v>2503594.66</v>
      </c>
      <c r="E108" s="204">
        <v>1922906.33</v>
      </c>
      <c r="F108" s="132">
        <f t="shared" ref="F108:F115" si="18">(+D108-E108)/E108</f>
        <v>0.30198472018135175</v>
      </c>
      <c r="G108" s="215">
        <f t="shared" ref="G108:G115" si="19">D108/C108</f>
        <v>0.19419393038734661</v>
      </c>
      <c r="H108" s="123"/>
    </row>
    <row r="109" spans="1:8" ht="15.75" x14ac:dyDescent="0.25">
      <c r="A109" s="130"/>
      <c r="B109" s="131">
        <f>DATE(2021,8,1)</f>
        <v>44409</v>
      </c>
      <c r="C109" s="204">
        <v>12937175</v>
      </c>
      <c r="D109" s="204">
        <v>2041955.48</v>
      </c>
      <c r="E109" s="204">
        <v>2698345.86</v>
      </c>
      <c r="F109" s="132">
        <f t="shared" si="18"/>
        <v>-0.24325657793919714</v>
      </c>
      <c r="G109" s="215">
        <f t="shared" si="19"/>
        <v>0.15783627260201705</v>
      </c>
      <c r="H109" s="123"/>
    </row>
    <row r="110" spans="1:8" ht="15.75" x14ac:dyDescent="0.25">
      <c r="A110" s="130"/>
      <c r="B110" s="131">
        <f>DATE(2021,9,1)</f>
        <v>44440</v>
      </c>
      <c r="C110" s="204">
        <v>13265484</v>
      </c>
      <c r="D110" s="204">
        <v>2713567.27</v>
      </c>
      <c r="E110" s="204">
        <v>2773332.44</v>
      </c>
      <c r="F110" s="132">
        <f t="shared" si="18"/>
        <v>-2.1549948047339007E-2</v>
      </c>
      <c r="G110" s="215">
        <f t="shared" si="19"/>
        <v>0.20455848199733986</v>
      </c>
      <c r="H110" s="123"/>
    </row>
    <row r="111" spans="1:8" ht="15.75" x14ac:dyDescent="0.25">
      <c r="A111" s="130"/>
      <c r="B111" s="131">
        <f>DATE(2021,10,1)</f>
        <v>44470</v>
      </c>
      <c r="C111" s="204">
        <v>14843224</v>
      </c>
      <c r="D111" s="204">
        <v>2659301.4700000002</v>
      </c>
      <c r="E111" s="204">
        <v>2099358.0099999998</v>
      </c>
      <c r="F111" s="132">
        <f t="shared" si="18"/>
        <v>0.26672128209328172</v>
      </c>
      <c r="G111" s="215">
        <f t="shared" si="19"/>
        <v>0.17915928978771728</v>
      </c>
      <c r="H111" s="123"/>
    </row>
    <row r="112" spans="1:8" ht="15.75" x14ac:dyDescent="0.25">
      <c r="A112" s="130"/>
      <c r="B112" s="131">
        <f>DATE(2021,11,1)</f>
        <v>44501</v>
      </c>
      <c r="C112" s="204">
        <v>13846501</v>
      </c>
      <c r="D112" s="204">
        <v>2735220.29</v>
      </c>
      <c r="E112" s="204">
        <v>2138602.36</v>
      </c>
      <c r="F112" s="132">
        <f t="shared" si="18"/>
        <v>0.2789756249965048</v>
      </c>
      <c r="G112" s="215">
        <f t="shared" si="19"/>
        <v>0.19753873487605281</v>
      </c>
      <c r="H112" s="123"/>
    </row>
    <row r="113" spans="1:8" ht="15.75" x14ac:dyDescent="0.25">
      <c r="A113" s="130"/>
      <c r="B113" s="131">
        <f>DATE(2021,12,1)</f>
        <v>44531</v>
      </c>
      <c r="C113" s="204">
        <v>15351934</v>
      </c>
      <c r="D113" s="204">
        <v>3180649.5</v>
      </c>
      <c r="E113" s="204">
        <v>1971253.86</v>
      </c>
      <c r="F113" s="132">
        <f t="shared" si="18"/>
        <v>0.61351592737020677</v>
      </c>
      <c r="G113" s="215">
        <f t="shared" si="19"/>
        <v>0.20718233285786664</v>
      </c>
      <c r="H113" s="123"/>
    </row>
    <row r="114" spans="1:8" ht="15.75" x14ac:dyDescent="0.25">
      <c r="A114" s="130"/>
      <c r="B114" s="131">
        <f>DATE(2022,1,1)</f>
        <v>44562</v>
      </c>
      <c r="C114" s="204">
        <v>12615740</v>
      </c>
      <c r="D114" s="204">
        <v>2491683.5699999998</v>
      </c>
      <c r="E114" s="204">
        <v>2332941.5</v>
      </c>
      <c r="F114" s="132">
        <f t="shared" si="18"/>
        <v>6.8043742202708396E-2</v>
      </c>
      <c r="G114" s="215">
        <f t="shared" si="19"/>
        <v>0.19750593861319271</v>
      </c>
      <c r="H114" s="123"/>
    </row>
    <row r="115" spans="1:8" ht="15.75" x14ac:dyDescent="0.25">
      <c r="A115" s="130"/>
      <c r="B115" s="131">
        <f>DATE(2022,2,1)</f>
        <v>44593</v>
      </c>
      <c r="C115" s="204">
        <v>13258339</v>
      </c>
      <c r="D115" s="204">
        <v>2634766.65</v>
      </c>
      <c r="E115" s="204">
        <v>2002620.27</v>
      </c>
      <c r="F115" s="132">
        <f t="shared" si="18"/>
        <v>0.31565963326637053</v>
      </c>
      <c r="G115" s="215">
        <f t="shared" si="19"/>
        <v>0.19872524378807932</v>
      </c>
      <c r="H115" s="123"/>
    </row>
    <row r="116" spans="1:8" ht="15.75" thickBot="1" x14ac:dyDescent="0.25">
      <c r="A116" s="133"/>
      <c r="B116" s="131"/>
      <c r="C116" s="204"/>
      <c r="D116" s="204"/>
      <c r="E116" s="204"/>
      <c r="F116" s="132"/>
      <c r="G116" s="215"/>
      <c r="H116" s="123"/>
    </row>
    <row r="117" spans="1:8" ht="17.25" thickTop="1" thickBot="1" x14ac:dyDescent="0.3">
      <c r="A117" s="141" t="s">
        <v>14</v>
      </c>
      <c r="B117" s="142"/>
      <c r="C117" s="207">
        <f>SUM(C108:C116)</f>
        <v>109010636.5</v>
      </c>
      <c r="D117" s="207">
        <f>SUM(D108:D116)</f>
        <v>20960738.890000001</v>
      </c>
      <c r="E117" s="207">
        <f>SUM(E108:E116)</f>
        <v>17939360.629999999</v>
      </c>
      <c r="F117" s="143">
        <f>(+D117-E117)/E117</f>
        <v>0.16842173599806839</v>
      </c>
      <c r="G117" s="267">
        <f>D117/C117</f>
        <v>0.19228159345716692</v>
      </c>
      <c r="H117" s="123"/>
    </row>
    <row r="118" spans="1:8" ht="15.75" customHeight="1" thickTop="1" x14ac:dyDescent="0.25">
      <c r="A118" s="138"/>
      <c r="B118" s="139"/>
      <c r="C118" s="205"/>
      <c r="D118" s="205"/>
      <c r="E118" s="205"/>
      <c r="F118" s="140"/>
      <c r="G118" s="219"/>
      <c r="H118" s="123"/>
    </row>
    <row r="119" spans="1:8" ht="15.75" x14ac:dyDescent="0.25">
      <c r="A119" s="130" t="s">
        <v>55</v>
      </c>
      <c r="B119" s="131">
        <f>DATE(2021,7,1)</f>
        <v>44378</v>
      </c>
      <c r="C119" s="204">
        <v>371140</v>
      </c>
      <c r="D119" s="204">
        <v>95940.5</v>
      </c>
      <c r="E119" s="204">
        <v>188605.5</v>
      </c>
      <c r="F119" s="132">
        <f t="shared" ref="F119:F126" si="20">(+D119-E119)/E119</f>
        <v>-0.49131653106616724</v>
      </c>
      <c r="G119" s="215">
        <f t="shared" ref="G119:G126" si="21">D119/C119</f>
        <v>0.25850218246483808</v>
      </c>
      <c r="H119" s="123"/>
    </row>
    <row r="120" spans="1:8" ht="15.75" x14ac:dyDescent="0.25">
      <c r="A120" s="130"/>
      <c r="B120" s="131">
        <f>DATE(2021,8,1)</f>
        <v>44409</v>
      </c>
      <c r="C120" s="204">
        <v>365006</v>
      </c>
      <c r="D120" s="204">
        <v>109429</v>
      </c>
      <c r="E120" s="204">
        <v>111546</v>
      </c>
      <c r="F120" s="132">
        <f t="shared" si="20"/>
        <v>-1.8978717300485899E-2</v>
      </c>
      <c r="G120" s="215">
        <f t="shared" si="21"/>
        <v>0.29980055122381549</v>
      </c>
      <c r="H120" s="123"/>
    </row>
    <row r="121" spans="1:8" ht="15.75" x14ac:dyDescent="0.25">
      <c r="A121" s="130"/>
      <c r="B121" s="131">
        <f>DATE(2021,9,1)</f>
        <v>44440</v>
      </c>
      <c r="C121" s="204">
        <v>306911</v>
      </c>
      <c r="D121" s="204">
        <v>101758.5</v>
      </c>
      <c r="E121" s="204">
        <v>108554</v>
      </c>
      <c r="F121" s="132">
        <f t="shared" si="20"/>
        <v>-6.2600180555299673E-2</v>
      </c>
      <c r="G121" s="215">
        <f t="shared" si="21"/>
        <v>0.33155703119145291</v>
      </c>
      <c r="H121" s="123"/>
    </row>
    <row r="122" spans="1:8" ht="15.75" x14ac:dyDescent="0.25">
      <c r="A122" s="130"/>
      <c r="B122" s="131">
        <f>DATE(2021,10,1)</f>
        <v>44470</v>
      </c>
      <c r="C122" s="204">
        <v>384507</v>
      </c>
      <c r="D122" s="204">
        <v>79721.5</v>
      </c>
      <c r="E122" s="204">
        <v>95084.5</v>
      </c>
      <c r="F122" s="132">
        <f t="shared" si="20"/>
        <v>-0.16157207536454418</v>
      </c>
      <c r="G122" s="215">
        <f t="shared" si="21"/>
        <v>0.207334326813296</v>
      </c>
      <c r="H122" s="123"/>
    </row>
    <row r="123" spans="1:8" ht="15.75" x14ac:dyDescent="0.25">
      <c r="A123" s="130"/>
      <c r="B123" s="131">
        <f>DATE(2021,11,1)</f>
        <v>44501</v>
      </c>
      <c r="C123" s="204">
        <v>305940</v>
      </c>
      <c r="D123" s="204">
        <v>65199</v>
      </c>
      <c r="E123" s="204">
        <v>102680.5</v>
      </c>
      <c r="F123" s="132">
        <f t="shared" si="20"/>
        <v>-0.3650303611688685</v>
      </c>
      <c r="G123" s="215">
        <f t="shared" si="21"/>
        <v>0.21311041380662876</v>
      </c>
      <c r="H123" s="123"/>
    </row>
    <row r="124" spans="1:8" ht="15.75" x14ac:dyDescent="0.25">
      <c r="A124" s="130"/>
      <c r="B124" s="131">
        <f>DATE(2021,12,1)</f>
        <v>44531</v>
      </c>
      <c r="C124" s="204">
        <v>301496</v>
      </c>
      <c r="D124" s="204">
        <v>91444</v>
      </c>
      <c r="E124" s="204">
        <v>47733</v>
      </c>
      <c r="F124" s="132">
        <f t="shared" si="20"/>
        <v>0.91573963505331746</v>
      </c>
      <c r="G124" s="215">
        <f t="shared" si="21"/>
        <v>0.30330087298007269</v>
      </c>
      <c r="H124" s="123"/>
    </row>
    <row r="125" spans="1:8" ht="15.75" x14ac:dyDescent="0.25">
      <c r="A125" s="130"/>
      <c r="B125" s="131">
        <f>DATE(2022,1,1)</f>
        <v>44562</v>
      </c>
      <c r="C125" s="204">
        <v>295803</v>
      </c>
      <c r="D125" s="204">
        <v>130796.5</v>
      </c>
      <c r="E125" s="204">
        <v>134105.5</v>
      </c>
      <c r="F125" s="132">
        <f t="shared" si="20"/>
        <v>-2.4674603204193714E-2</v>
      </c>
      <c r="G125" s="215">
        <f t="shared" si="21"/>
        <v>0.44217435252516035</v>
      </c>
      <c r="H125" s="123"/>
    </row>
    <row r="126" spans="1:8" ht="15.75" x14ac:dyDescent="0.25">
      <c r="A126" s="130"/>
      <c r="B126" s="131">
        <f>DATE(2022,2,1)</f>
        <v>44593</v>
      </c>
      <c r="C126" s="204">
        <v>285955</v>
      </c>
      <c r="D126" s="204">
        <v>64197.5</v>
      </c>
      <c r="E126" s="204">
        <v>30769</v>
      </c>
      <c r="F126" s="132">
        <f t="shared" si="20"/>
        <v>1.0864343982579869</v>
      </c>
      <c r="G126" s="215">
        <f t="shared" si="21"/>
        <v>0.22450210697487366</v>
      </c>
      <c r="H126" s="123"/>
    </row>
    <row r="127" spans="1:8" ht="15.75" thickBot="1" x14ac:dyDescent="0.25">
      <c r="A127" s="133"/>
      <c r="B127" s="134"/>
      <c r="C127" s="204"/>
      <c r="D127" s="204"/>
      <c r="E127" s="204"/>
      <c r="F127" s="132"/>
      <c r="G127" s="215"/>
      <c r="H127" s="123"/>
    </row>
    <row r="128" spans="1:8" ht="17.25" thickTop="1" thickBot="1" x14ac:dyDescent="0.3">
      <c r="A128" s="144" t="s">
        <v>14</v>
      </c>
      <c r="B128" s="145"/>
      <c r="C128" s="207">
        <f>SUM(C119:C127)</f>
        <v>2616758</v>
      </c>
      <c r="D128" s="207">
        <f>SUM(D119:D127)</f>
        <v>738486.5</v>
      </c>
      <c r="E128" s="207">
        <f>SUM(E119:E127)</f>
        <v>819078</v>
      </c>
      <c r="F128" s="143">
        <f>(+D128-E128)/E128</f>
        <v>-9.8392949145258451E-2</v>
      </c>
      <c r="G128" s="217">
        <f>D128/C128</f>
        <v>0.28221428959040157</v>
      </c>
      <c r="H128" s="123"/>
    </row>
    <row r="129" spans="1:8" ht="15.75" customHeight="1" thickTop="1" x14ac:dyDescent="0.25">
      <c r="A129" s="130"/>
      <c r="B129" s="134"/>
      <c r="C129" s="204"/>
      <c r="D129" s="204"/>
      <c r="E129" s="204"/>
      <c r="F129" s="132"/>
      <c r="G129" s="218"/>
      <c r="H129" s="123"/>
    </row>
    <row r="130" spans="1:8" ht="15.75" x14ac:dyDescent="0.25">
      <c r="A130" s="130" t="s">
        <v>37</v>
      </c>
      <c r="B130" s="131">
        <f>DATE(2021,7,1)</f>
        <v>44378</v>
      </c>
      <c r="C130" s="204">
        <v>21135748</v>
      </c>
      <c r="D130" s="204">
        <v>4828759.4400000004</v>
      </c>
      <c r="E130" s="204">
        <v>4944391.55</v>
      </c>
      <c r="F130" s="132">
        <f t="shared" ref="F130:F137" si="22">(+D130-E130)/E130</f>
        <v>-2.33865196214081E-2</v>
      </c>
      <c r="G130" s="215">
        <f t="shared" ref="G130:G137" si="23">D130/C130</f>
        <v>0.22846409031750381</v>
      </c>
      <c r="H130" s="123"/>
    </row>
    <row r="131" spans="1:8" ht="15.75" x14ac:dyDescent="0.25">
      <c r="A131" s="130"/>
      <c r="B131" s="131">
        <f>DATE(2021,8,1)</f>
        <v>44409</v>
      </c>
      <c r="C131" s="204">
        <v>21125231</v>
      </c>
      <c r="D131" s="204">
        <v>4617763.22</v>
      </c>
      <c r="E131" s="204">
        <v>3489579.3</v>
      </c>
      <c r="F131" s="132">
        <f t="shared" si="22"/>
        <v>0.32330084030473244</v>
      </c>
      <c r="G131" s="215">
        <f t="shared" si="23"/>
        <v>0.21858995151342958</v>
      </c>
      <c r="H131" s="123"/>
    </row>
    <row r="132" spans="1:8" ht="15.75" x14ac:dyDescent="0.25">
      <c r="A132" s="130"/>
      <c r="B132" s="131">
        <f>DATE(2021,9,1)</f>
        <v>44440</v>
      </c>
      <c r="C132" s="204">
        <v>19406042</v>
      </c>
      <c r="D132" s="204">
        <v>4146063.59</v>
      </c>
      <c r="E132" s="204">
        <v>3694673.89</v>
      </c>
      <c r="F132" s="132">
        <f t="shared" si="22"/>
        <v>0.12217308304847432</v>
      </c>
      <c r="G132" s="215">
        <f t="shared" si="23"/>
        <v>0.21364807877876385</v>
      </c>
      <c r="H132" s="123"/>
    </row>
    <row r="133" spans="1:8" ht="15.75" x14ac:dyDescent="0.25">
      <c r="A133" s="130"/>
      <c r="B133" s="131">
        <f>DATE(2021,10,1)</f>
        <v>44470</v>
      </c>
      <c r="C133" s="204">
        <v>22309255.5</v>
      </c>
      <c r="D133" s="204">
        <v>5459139.5700000003</v>
      </c>
      <c r="E133" s="204">
        <v>4159604.05</v>
      </c>
      <c r="F133" s="132">
        <f t="shared" si="22"/>
        <v>0.31241808219703038</v>
      </c>
      <c r="G133" s="215">
        <f t="shared" si="23"/>
        <v>0.24470290234472417</v>
      </c>
      <c r="H133" s="123"/>
    </row>
    <row r="134" spans="1:8" ht="15.75" x14ac:dyDescent="0.25">
      <c r="A134" s="130"/>
      <c r="B134" s="131">
        <f>DATE(2021,11,1)</f>
        <v>44501</v>
      </c>
      <c r="C134" s="204">
        <v>22481941</v>
      </c>
      <c r="D134" s="204">
        <v>4253233.6500000004</v>
      </c>
      <c r="E134" s="204">
        <v>3752761.48</v>
      </c>
      <c r="F134" s="132">
        <f t="shared" si="22"/>
        <v>0.13336103897549076</v>
      </c>
      <c r="G134" s="215">
        <f t="shared" si="23"/>
        <v>0.18918445031058487</v>
      </c>
      <c r="H134" s="123"/>
    </row>
    <row r="135" spans="1:8" ht="15.75" x14ac:dyDescent="0.25">
      <c r="A135" s="130"/>
      <c r="B135" s="131">
        <f>DATE(2021,12,1)</f>
        <v>44531</v>
      </c>
      <c r="C135" s="204">
        <v>24035711</v>
      </c>
      <c r="D135" s="204">
        <v>5369859.7400000002</v>
      </c>
      <c r="E135" s="204">
        <v>4490962</v>
      </c>
      <c r="F135" s="132">
        <f t="shared" si="22"/>
        <v>0.19570366883531862</v>
      </c>
      <c r="G135" s="215">
        <f t="shared" si="23"/>
        <v>0.223411728490162</v>
      </c>
      <c r="H135" s="123"/>
    </row>
    <row r="136" spans="1:8" ht="15.75" x14ac:dyDescent="0.25">
      <c r="A136" s="130"/>
      <c r="B136" s="131">
        <f>DATE(2022,1,1)</f>
        <v>44562</v>
      </c>
      <c r="C136" s="204">
        <v>21675537</v>
      </c>
      <c r="D136" s="204">
        <v>5388467.7599999998</v>
      </c>
      <c r="E136" s="204">
        <v>4702074.91</v>
      </c>
      <c r="F136" s="132">
        <f t="shared" si="22"/>
        <v>0.14597658759970705</v>
      </c>
      <c r="G136" s="215">
        <f t="shared" si="23"/>
        <v>0.2485967364960785</v>
      </c>
      <c r="H136" s="123"/>
    </row>
    <row r="137" spans="1:8" ht="15.75" x14ac:dyDescent="0.25">
      <c r="A137" s="130"/>
      <c r="B137" s="131">
        <f>DATE(2022,2,1)</f>
        <v>44593</v>
      </c>
      <c r="C137" s="204">
        <v>19782328</v>
      </c>
      <c r="D137" s="204">
        <v>4784841.13</v>
      </c>
      <c r="E137" s="204">
        <v>4573683.54</v>
      </c>
      <c r="F137" s="132">
        <f t="shared" si="22"/>
        <v>4.616794934614122E-2</v>
      </c>
      <c r="G137" s="215">
        <f t="shared" si="23"/>
        <v>0.2418745220481634</v>
      </c>
      <c r="H137" s="123"/>
    </row>
    <row r="138" spans="1:8" ht="15.75" thickBot="1" x14ac:dyDescent="0.25">
      <c r="A138" s="133"/>
      <c r="B138" s="134"/>
      <c r="C138" s="204"/>
      <c r="D138" s="204"/>
      <c r="E138" s="204"/>
      <c r="F138" s="132"/>
      <c r="G138" s="215"/>
      <c r="H138" s="123"/>
    </row>
    <row r="139" spans="1:8" ht="17.25" thickTop="1" thickBot="1" x14ac:dyDescent="0.3">
      <c r="A139" s="141" t="s">
        <v>14</v>
      </c>
      <c r="B139" s="142"/>
      <c r="C139" s="206">
        <f>SUM(C130:C138)</f>
        <v>171951793.5</v>
      </c>
      <c r="D139" s="207">
        <f>SUM(D130:D138)</f>
        <v>38848128.100000001</v>
      </c>
      <c r="E139" s="206">
        <f>SUM(E130:E138)</f>
        <v>33807730.719999999</v>
      </c>
      <c r="F139" s="143">
        <f>(+D139-E139)/E139</f>
        <v>0.14909008302702201</v>
      </c>
      <c r="G139" s="217">
        <f>D139/C139</f>
        <v>0.22592452983050743</v>
      </c>
      <c r="H139" s="123"/>
    </row>
    <row r="140" spans="1:8" ht="15.75" customHeight="1" thickTop="1" x14ac:dyDescent="0.25">
      <c r="A140" s="130"/>
      <c r="B140" s="134"/>
      <c r="C140" s="204"/>
      <c r="D140" s="204"/>
      <c r="E140" s="204"/>
      <c r="F140" s="132"/>
      <c r="G140" s="218"/>
      <c r="H140" s="123"/>
    </row>
    <row r="141" spans="1:8" ht="15.75" x14ac:dyDescent="0.25">
      <c r="A141" s="130" t="s">
        <v>58</v>
      </c>
      <c r="B141" s="131">
        <f>DATE(2021,7,1)</f>
        <v>44378</v>
      </c>
      <c r="C141" s="204">
        <v>576838</v>
      </c>
      <c r="D141" s="204">
        <v>127439.5</v>
      </c>
      <c r="E141" s="204">
        <v>155770.5</v>
      </c>
      <c r="F141" s="132">
        <f t="shared" ref="F141:F148" si="24">(+D141-E141)/E141</f>
        <v>-0.18187654273434314</v>
      </c>
      <c r="G141" s="215">
        <f t="shared" ref="G141:G148" si="25">D141/C141</f>
        <v>0.22092771280671522</v>
      </c>
      <c r="H141" s="123"/>
    </row>
    <row r="142" spans="1:8" ht="15.75" x14ac:dyDescent="0.25">
      <c r="A142" s="130"/>
      <c r="B142" s="131">
        <f>DATE(2021,8,1)</f>
        <v>44409</v>
      </c>
      <c r="C142" s="204">
        <v>465052</v>
      </c>
      <c r="D142" s="204">
        <v>132624</v>
      </c>
      <c r="E142" s="204">
        <v>187855</v>
      </c>
      <c r="F142" s="132">
        <f t="shared" si="24"/>
        <v>-0.29400867690505977</v>
      </c>
      <c r="G142" s="215">
        <f t="shared" si="25"/>
        <v>0.2851810120158606</v>
      </c>
      <c r="H142" s="123"/>
    </row>
    <row r="143" spans="1:8" ht="15.75" x14ac:dyDescent="0.25">
      <c r="A143" s="130"/>
      <c r="B143" s="131">
        <f>DATE(2021,9,1)</f>
        <v>44440</v>
      </c>
      <c r="C143" s="204">
        <v>546162</v>
      </c>
      <c r="D143" s="204">
        <v>116203.5</v>
      </c>
      <c r="E143" s="204">
        <v>175772.5</v>
      </c>
      <c r="F143" s="132">
        <f t="shared" si="24"/>
        <v>-0.338898291826082</v>
      </c>
      <c r="G143" s="215">
        <f t="shared" si="25"/>
        <v>0.21276379535742143</v>
      </c>
      <c r="H143" s="123"/>
    </row>
    <row r="144" spans="1:8" ht="15.75" x14ac:dyDescent="0.25">
      <c r="A144" s="130"/>
      <c r="B144" s="131">
        <f>DATE(2021,10,1)</f>
        <v>44470</v>
      </c>
      <c r="C144" s="204">
        <v>611813</v>
      </c>
      <c r="D144" s="204">
        <v>167500.5</v>
      </c>
      <c r="E144" s="204">
        <v>128393</v>
      </c>
      <c r="F144" s="132">
        <f t="shared" si="24"/>
        <v>0.30459215066241929</v>
      </c>
      <c r="G144" s="215">
        <f t="shared" si="25"/>
        <v>0.27377728162036441</v>
      </c>
      <c r="H144" s="123"/>
    </row>
    <row r="145" spans="1:8" ht="15.75" x14ac:dyDescent="0.25">
      <c r="A145" s="130"/>
      <c r="B145" s="131">
        <f>DATE(2021,11,1)</f>
        <v>44501</v>
      </c>
      <c r="C145" s="204">
        <v>574384</v>
      </c>
      <c r="D145" s="204">
        <v>144385.5</v>
      </c>
      <c r="E145" s="204">
        <v>162751.5</v>
      </c>
      <c r="F145" s="132">
        <f t="shared" si="24"/>
        <v>-0.11284688620381379</v>
      </c>
      <c r="G145" s="215">
        <f t="shared" si="25"/>
        <v>0.2513745160032313</v>
      </c>
      <c r="H145" s="123"/>
    </row>
    <row r="146" spans="1:8" ht="15.75" x14ac:dyDescent="0.25">
      <c r="A146" s="130"/>
      <c r="B146" s="131">
        <f>DATE(2021,12,1)</f>
        <v>44531</v>
      </c>
      <c r="C146" s="204">
        <v>651978</v>
      </c>
      <c r="D146" s="204">
        <v>189046.5</v>
      </c>
      <c r="E146" s="204">
        <v>165476</v>
      </c>
      <c r="F146" s="132">
        <f t="shared" si="24"/>
        <v>0.14244059561507408</v>
      </c>
      <c r="G146" s="215">
        <f t="shared" si="25"/>
        <v>0.28995840350441271</v>
      </c>
      <c r="H146" s="123"/>
    </row>
    <row r="147" spans="1:8" ht="15.75" x14ac:dyDescent="0.25">
      <c r="A147" s="130"/>
      <c r="B147" s="131">
        <f>DATE(2022,1,1)</f>
        <v>44562</v>
      </c>
      <c r="C147" s="204">
        <v>437094</v>
      </c>
      <c r="D147" s="204">
        <v>129604.5</v>
      </c>
      <c r="E147" s="204">
        <v>104168.5</v>
      </c>
      <c r="F147" s="132">
        <f t="shared" si="24"/>
        <v>0.24418130240907759</v>
      </c>
      <c r="G147" s="215">
        <f t="shared" si="25"/>
        <v>0.29651402215541739</v>
      </c>
      <c r="H147" s="123"/>
    </row>
    <row r="148" spans="1:8" ht="15.75" x14ac:dyDescent="0.25">
      <c r="A148" s="130"/>
      <c r="B148" s="131">
        <f>DATE(2022,2,1)</f>
        <v>44593</v>
      </c>
      <c r="C148" s="204">
        <v>532439</v>
      </c>
      <c r="D148" s="204">
        <v>141185</v>
      </c>
      <c r="E148" s="204">
        <v>114089.5</v>
      </c>
      <c r="F148" s="132">
        <f t="shared" si="24"/>
        <v>0.23749337143207744</v>
      </c>
      <c r="G148" s="215">
        <f t="shared" si="25"/>
        <v>0.26516652611848496</v>
      </c>
      <c r="H148" s="123"/>
    </row>
    <row r="149" spans="1:8" ht="15.75" thickBot="1" x14ac:dyDescent="0.25">
      <c r="A149" s="133"/>
      <c r="B149" s="134"/>
      <c r="C149" s="204"/>
      <c r="D149" s="204"/>
      <c r="E149" s="204"/>
      <c r="F149" s="132"/>
      <c r="G149" s="215"/>
      <c r="H149" s="123"/>
    </row>
    <row r="150" spans="1:8" ht="17.25" thickTop="1" thickBot="1" x14ac:dyDescent="0.3">
      <c r="A150" s="135" t="s">
        <v>14</v>
      </c>
      <c r="B150" s="136"/>
      <c r="C150" s="201">
        <f>SUM(C141:C149)</f>
        <v>4395760</v>
      </c>
      <c r="D150" s="207">
        <f>SUM(D141:D149)</f>
        <v>1147989</v>
      </c>
      <c r="E150" s="207">
        <f>SUM(E141:E149)</f>
        <v>1194276.5</v>
      </c>
      <c r="F150" s="143">
        <f>(+D150-E150)/E150</f>
        <v>-3.8757775104843809E-2</v>
      </c>
      <c r="G150" s="217">
        <f>D150/C150</f>
        <v>0.26115825249786156</v>
      </c>
      <c r="H150" s="123"/>
    </row>
    <row r="151" spans="1:8" ht="16.5" thickTop="1" thickBot="1" x14ac:dyDescent="0.25">
      <c r="A151" s="146"/>
      <c r="B151" s="139"/>
      <c r="C151" s="205"/>
      <c r="D151" s="205"/>
      <c r="E151" s="205"/>
      <c r="F151" s="140"/>
      <c r="G151" s="216"/>
      <c r="H151" s="123"/>
    </row>
    <row r="152" spans="1:8" ht="17.25" thickTop="1" thickBot="1" x14ac:dyDescent="0.3">
      <c r="A152" s="147" t="s">
        <v>38</v>
      </c>
      <c r="B152" s="121"/>
      <c r="C152" s="201">
        <f>C150+C139+C106+C84+C62+C40+C18+C51+C128+C29+C95+C117+C73</f>
        <v>832681995.30999994</v>
      </c>
      <c r="D152" s="201">
        <f>D150+D139+D106+D84+D62+D40+D18+D51+D128+D29+D95+D117+D73</f>
        <v>171902636.88999999</v>
      </c>
      <c r="E152" s="201">
        <f>E150+E139+E106+E84+E62+E40+E18+E51+E128+E29+E95+E117+E73</f>
        <v>139888141.31</v>
      </c>
      <c r="F152" s="137">
        <f>(+D152-E152)/E152</f>
        <v>0.22885782368824287</v>
      </c>
      <c r="G152" s="212">
        <f>D152/C152</f>
        <v>0.20644452246863126</v>
      </c>
      <c r="H152" s="123"/>
    </row>
    <row r="153" spans="1:8" ht="17.25" thickTop="1" thickBot="1" x14ac:dyDescent="0.3">
      <c r="A153" s="147"/>
      <c r="B153" s="121"/>
      <c r="C153" s="201"/>
      <c r="D153" s="201"/>
      <c r="E153" s="201"/>
      <c r="F153" s="137"/>
      <c r="G153" s="212"/>
      <c r="H153" s="123"/>
    </row>
    <row r="154" spans="1:8" ht="17.25" thickTop="1" thickBot="1" x14ac:dyDescent="0.3">
      <c r="A154" s="265" t="s">
        <v>39</v>
      </c>
      <c r="B154" s="266"/>
      <c r="C154" s="206">
        <f>SUM(C16+C27+C38+C49+C60+C71+C82+C93+C104+C115+C126+C137+C148)</f>
        <v>98770766.25</v>
      </c>
      <c r="D154" s="206">
        <f>SUM(D16+D27+D38+D49+D60+D71+D82+D93+D104+D115+D126+D137+D148)</f>
        <v>19594807.859999999</v>
      </c>
      <c r="E154" s="206">
        <f>SUM(E16+E27+E38+E49+E60+E71+E82+E93+E104+E115+E126+E137+E148)</f>
        <v>17019261.309999999</v>
      </c>
      <c r="F154" s="268">
        <f>(+D154-E154)/E154</f>
        <v>0.15133127713872566</v>
      </c>
      <c r="G154" s="217">
        <f>D154/C154</f>
        <v>0.19838671505699693</v>
      </c>
      <c r="H154" s="123"/>
    </row>
    <row r="155" spans="1:8" ht="16.5" thickTop="1" x14ac:dyDescent="0.25">
      <c r="A155" s="256"/>
      <c r="B155" s="258"/>
      <c r="C155" s="259"/>
      <c r="D155" s="259"/>
      <c r="E155" s="259"/>
      <c r="F155" s="260"/>
      <c r="G155" s="257"/>
      <c r="H155" s="257"/>
    </row>
    <row r="156" spans="1:8" ht="18.75" x14ac:dyDescent="0.3">
      <c r="A156" s="263" t="s">
        <v>40</v>
      </c>
      <c r="B156" s="117"/>
      <c r="C156" s="208"/>
      <c r="D156" s="208"/>
      <c r="E156" s="208"/>
      <c r="F156" s="148"/>
      <c r="G156" s="220"/>
    </row>
    <row r="157" spans="1:8" ht="15.75" x14ac:dyDescent="0.25">
      <c r="A157" s="72"/>
    </row>
  </sheetData>
  <phoneticPr fontId="0" type="noConversion"/>
  <printOptions horizontalCentered="1"/>
  <pageMargins left="0.45" right="0.25" top="0.31944444444444398" bottom="0.2" header="0.5" footer="0.5"/>
  <pageSetup scale="65" orientation="landscape" r:id="rId1"/>
  <headerFooter alignWithMargins="0"/>
  <rowBreaks count="3" manualBreakCount="3">
    <brk id="51" max="7" man="1"/>
    <brk id="95" max="7" man="1"/>
    <brk id="139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zoomScaleNormal="100" workbookViewId="0">
      <selection activeCell="A6" sqref="A6"/>
    </sheetView>
  </sheetViews>
  <sheetFormatPr defaultRowHeight="15" x14ac:dyDescent="0.2"/>
  <cols>
    <col min="1" max="1" width="27.6640625" customWidth="1"/>
    <col min="2" max="2" width="9.6640625" customWidth="1"/>
    <col min="3" max="3" width="18.33203125" customWidth="1"/>
    <col min="4" max="4" width="15.77734375" customWidth="1"/>
    <col min="5" max="5" width="15.6640625" customWidth="1"/>
    <col min="6" max="6" width="8.6640625" customWidth="1"/>
    <col min="7" max="7" width="9.6640625" customWidth="1"/>
    <col min="8" max="8" width="10.6640625" customWidth="1"/>
  </cols>
  <sheetData>
    <row r="1" spans="1:8" ht="18" x14ac:dyDescent="0.25">
      <c r="A1" s="149" t="s">
        <v>0</v>
      </c>
      <c r="B1" s="150"/>
      <c r="C1" s="222"/>
      <c r="D1" s="222"/>
      <c r="E1" s="222"/>
      <c r="F1" s="150"/>
      <c r="G1" s="234"/>
      <c r="H1" s="234"/>
    </row>
    <row r="2" spans="1:8" ht="18.75" x14ac:dyDescent="0.3">
      <c r="A2" s="153" t="s">
        <v>61</v>
      </c>
      <c r="B2" s="150"/>
      <c r="C2" s="222"/>
      <c r="D2" s="222"/>
      <c r="E2" s="222"/>
      <c r="F2" s="150"/>
      <c r="G2" s="234"/>
      <c r="H2" s="234"/>
    </row>
    <row r="3" spans="1:8" ht="18" x14ac:dyDescent="0.25">
      <c r="A3" s="149" t="s">
        <v>42</v>
      </c>
      <c r="B3" s="150"/>
      <c r="C3" s="222"/>
      <c r="D3" s="222"/>
      <c r="E3" s="222"/>
      <c r="F3" s="150"/>
      <c r="G3" s="234"/>
      <c r="H3" s="234"/>
    </row>
    <row r="4" spans="1:8" ht="18" x14ac:dyDescent="0.25">
      <c r="A4" s="285" t="s">
        <v>77</v>
      </c>
      <c r="B4" s="150"/>
      <c r="C4" s="222"/>
      <c r="D4" s="222"/>
      <c r="E4" s="222"/>
      <c r="F4" s="150"/>
      <c r="G4" s="234"/>
      <c r="H4" s="234"/>
    </row>
    <row r="5" spans="1:8" x14ac:dyDescent="0.2">
      <c r="A5" s="286" t="s">
        <v>73</v>
      </c>
      <c r="B5" s="150"/>
      <c r="C5" s="222"/>
      <c r="D5" s="222"/>
      <c r="E5" s="222"/>
      <c r="F5" s="150"/>
      <c r="G5" s="234"/>
      <c r="H5" s="234"/>
    </row>
    <row r="6" spans="1:8" ht="16.5" thickBot="1" x14ac:dyDescent="0.3">
      <c r="A6" s="150"/>
      <c r="B6" s="150"/>
      <c r="C6" s="222"/>
      <c r="D6" s="222"/>
      <c r="E6" s="222"/>
      <c r="F6" s="150"/>
      <c r="G6" s="235" t="s">
        <v>43</v>
      </c>
      <c r="H6" s="235"/>
    </row>
    <row r="7" spans="1:8" ht="16.5" thickTop="1" x14ac:dyDescent="0.25">
      <c r="A7" s="154"/>
      <c r="B7" s="155" t="s">
        <v>2</v>
      </c>
      <c r="C7" s="223" t="s">
        <v>67</v>
      </c>
      <c r="D7" s="223" t="s">
        <v>31</v>
      </c>
      <c r="E7" s="223" t="s">
        <v>3</v>
      </c>
      <c r="F7" s="156"/>
      <c r="G7" s="236" t="s">
        <v>32</v>
      </c>
      <c r="H7" s="253" t="s">
        <v>32</v>
      </c>
    </row>
    <row r="8" spans="1:8" ht="16.5" thickBot="1" x14ac:dyDescent="0.3">
      <c r="A8" s="158" t="s">
        <v>5</v>
      </c>
      <c r="B8" s="159" t="s">
        <v>6</v>
      </c>
      <c r="C8" s="224" t="s">
        <v>45</v>
      </c>
      <c r="D8" s="224" t="s">
        <v>68</v>
      </c>
      <c r="E8" s="224" t="s">
        <v>68</v>
      </c>
      <c r="F8" s="160" t="s">
        <v>8</v>
      </c>
      <c r="G8" s="238" t="s">
        <v>35</v>
      </c>
      <c r="H8" s="254" t="s">
        <v>47</v>
      </c>
    </row>
    <row r="9" spans="1:8" ht="16.5" thickTop="1" x14ac:dyDescent="0.25">
      <c r="A9" s="161"/>
      <c r="B9" s="162"/>
      <c r="C9" s="225"/>
      <c r="D9" s="225"/>
      <c r="E9" s="225"/>
      <c r="F9" s="163"/>
      <c r="G9" s="239"/>
      <c r="H9" s="240"/>
    </row>
    <row r="10" spans="1:8" ht="15.75" x14ac:dyDescent="0.25">
      <c r="A10" s="164" t="s">
        <v>36</v>
      </c>
      <c r="B10" s="165">
        <f>DATE(21,7,1)</f>
        <v>7853</v>
      </c>
      <c r="C10" s="226">
        <v>0</v>
      </c>
      <c r="D10" s="226">
        <v>0</v>
      </c>
      <c r="E10" s="226">
        <v>0</v>
      </c>
      <c r="F10" s="166">
        <v>0</v>
      </c>
      <c r="G10" s="241">
        <v>0</v>
      </c>
      <c r="H10" s="242">
        <v>0</v>
      </c>
    </row>
    <row r="11" spans="1:8" ht="15.75" x14ac:dyDescent="0.25">
      <c r="A11" s="164"/>
      <c r="B11" s="165">
        <f>DATE(21,8,1)</f>
        <v>7884</v>
      </c>
      <c r="C11" s="226">
        <v>0</v>
      </c>
      <c r="D11" s="226">
        <v>0</v>
      </c>
      <c r="E11" s="226">
        <v>0</v>
      </c>
      <c r="F11" s="166">
        <v>0</v>
      </c>
      <c r="G11" s="241">
        <v>0</v>
      </c>
      <c r="H11" s="242">
        <v>0</v>
      </c>
    </row>
    <row r="12" spans="1:8" ht="15.75" x14ac:dyDescent="0.25">
      <c r="A12" s="164"/>
      <c r="B12" s="165">
        <f>DATE(21,9,1)</f>
        <v>7915</v>
      </c>
      <c r="C12" s="226">
        <v>0</v>
      </c>
      <c r="D12" s="226">
        <v>0</v>
      </c>
      <c r="E12" s="226">
        <v>0</v>
      </c>
      <c r="F12" s="166">
        <v>0</v>
      </c>
      <c r="G12" s="241">
        <v>0</v>
      </c>
      <c r="H12" s="242">
        <v>0</v>
      </c>
    </row>
    <row r="13" spans="1:8" ht="15.75" x14ac:dyDescent="0.25">
      <c r="A13" s="164"/>
      <c r="B13" s="165">
        <f>DATE(21,10,1)</f>
        <v>7945</v>
      </c>
      <c r="C13" s="226">
        <v>0</v>
      </c>
      <c r="D13" s="226">
        <v>0</v>
      </c>
      <c r="E13" s="226">
        <v>0</v>
      </c>
      <c r="F13" s="166">
        <v>0</v>
      </c>
      <c r="G13" s="241">
        <v>0</v>
      </c>
      <c r="H13" s="242">
        <v>0</v>
      </c>
    </row>
    <row r="14" spans="1:8" ht="15.75" x14ac:dyDescent="0.25">
      <c r="A14" s="164"/>
      <c r="B14" s="165">
        <f>DATE(21,11,1)</f>
        <v>7976</v>
      </c>
      <c r="C14" s="226">
        <v>1095526.05</v>
      </c>
      <c r="D14" s="226">
        <v>51101.03</v>
      </c>
      <c r="E14" s="226">
        <v>0</v>
      </c>
      <c r="F14" s="166">
        <v>1</v>
      </c>
      <c r="G14" s="241">
        <f>+D14/C14</f>
        <v>4.6645198441424555E-2</v>
      </c>
      <c r="H14" s="289">
        <f>1-G14</f>
        <v>0.95335480155857544</v>
      </c>
    </row>
    <row r="15" spans="1:8" ht="15.75" x14ac:dyDescent="0.25">
      <c r="A15" s="164"/>
      <c r="B15" s="165">
        <f>DATE(21,12,1)</f>
        <v>8006</v>
      </c>
      <c r="C15" s="226">
        <v>2814957.88</v>
      </c>
      <c r="D15" s="226">
        <v>90195.59</v>
      </c>
      <c r="E15" s="226">
        <v>0</v>
      </c>
      <c r="F15" s="166">
        <v>1</v>
      </c>
      <c r="G15" s="241">
        <f>+D15/C15</f>
        <v>3.204154159493143E-2</v>
      </c>
      <c r="H15" s="289">
        <f>1-G15</f>
        <v>0.96795845840506856</v>
      </c>
    </row>
    <row r="16" spans="1:8" ht="15.75" x14ac:dyDescent="0.25">
      <c r="A16" s="164"/>
      <c r="B16" s="165">
        <f>DATE(22,1,1)</f>
        <v>8037</v>
      </c>
      <c r="C16" s="226">
        <v>2639798.91</v>
      </c>
      <c r="D16" s="226">
        <v>119559.87</v>
      </c>
      <c r="E16" s="226">
        <v>0</v>
      </c>
      <c r="F16" s="166">
        <v>1</v>
      </c>
      <c r="G16" s="241">
        <f>+D16/C16</f>
        <v>4.5291279402793594E-2</v>
      </c>
      <c r="H16" s="289">
        <f>1-G16</f>
        <v>0.95470872059720646</v>
      </c>
    </row>
    <row r="17" spans="1:8" ht="15.75" x14ac:dyDescent="0.25">
      <c r="A17" s="164"/>
      <c r="B17" s="165">
        <f>DATE(22,2,1)</f>
        <v>8068</v>
      </c>
      <c r="C17" s="226">
        <v>2750043.44</v>
      </c>
      <c r="D17" s="226">
        <v>134655.35</v>
      </c>
      <c r="E17" s="226">
        <v>0</v>
      </c>
      <c r="F17" s="166">
        <v>1</v>
      </c>
      <c r="G17" s="241">
        <f>+D17/C17</f>
        <v>4.8964808352263703E-2</v>
      </c>
      <c r="H17" s="289">
        <f>1-G17</f>
        <v>0.95103519164773631</v>
      </c>
    </row>
    <row r="18" spans="1:8" ht="15.75" thickBot="1" x14ac:dyDescent="0.25">
      <c r="A18" s="167"/>
      <c r="B18" s="168"/>
      <c r="C18" s="226"/>
      <c r="D18" s="226"/>
      <c r="E18" s="226"/>
      <c r="F18" s="166"/>
      <c r="G18" s="241"/>
      <c r="H18" s="242"/>
    </row>
    <row r="19" spans="1:8" ht="17.25" thickTop="1" thickBot="1" x14ac:dyDescent="0.3">
      <c r="A19" s="169" t="s">
        <v>14</v>
      </c>
      <c r="B19" s="155"/>
      <c r="C19" s="223">
        <f>SUM(C10:C18)</f>
        <v>9300326.2799999993</v>
      </c>
      <c r="D19" s="223">
        <f>SUM(D10:D18)</f>
        <v>395511.83999999997</v>
      </c>
      <c r="E19" s="223">
        <f>SUM(E10:E18)</f>
        <v>0</v>
      </c>
      <c r="F19" s="170">
        <v>1</v>
      </c>
      <c r="G19" s="245">
        <f>+D19/C19</f>
        <v>4.2526662838757952E-2</v>
      </c>
      <c r="H19" s="246">
        <f>1-G19</f>
        <v>0.95747333716124206</v>
      </c>
    </row>
    <row r="20" spans="1:8" ht="15.75" thickTop="1" x14ac:dyDescent="0.2">
      <c r="A20" s="171"/>
      <c r="B20" s="172"/>
      <c r="C20" s="227"/>
      <c r="D20" s="227"/>
      <c r="E20" s="227"/>
      <c r="F20" s="173"/>
      <c r="G20" s="243"/>
      <c r="H20" s="244"/>
    </row>
    <row r="21" spans="1:8" ht="15.75" x14ac:dyDescent="0.25">
      <c r="A21" s="19" t="s">
        <v>48</v>
      </c>
      <c r="B21" s="165">
        <f>DATE(21,7,1)</f>
        <v>7853</v>
      </c>
      <c r="C21" s="226">
        <v>0</v>
      </c>
      <c r="D21" s="226">
        <v>0</v>
      </c>
      <c r="E21" s="226">
        <v>0</v>
      </c>
      <c r="F21" s="166">
        <v>0</v>
      </c>
      <c r="G21" s="241">
        <v>0</v>
      </c>
      <c r="H21" s="242">
        <v>0</v>
      </c>
    </row>
    <row r="22" spans="1:8" ht="15.75" x14ac:dyDescent="0.25">
      <c r="A22" s="19"/>
      <c r="B22" s="165">
        <f>DATE(21,8,1)</f>
        <v>7884</v>
      </c>
      <c r="C22" s="226">
        <v>0</v>
      </c>
      <c r="D22" s="226">
        <v>0</v>
      </c>
      <c r="E22" s="226">
        <v>0</v>
      </c>
      <c r="F22" s="166">
        <v>0</v>
      </c>
      <c r="G22" s="241">
        <v>0</v>
      </c>
      <c r="H22" s="242">
        <v>0</v>
      </c>
    </row>
    <row r="23" spans="1:8" ht="15.75" x14ac:dyDescent="0.25">
      <c r="A23" s="19"/>
      <c r="B23" s="165">
        <f>DATE(21,9,1)</f>
        <v>7915</v>
      </c>
      <c r="C23" s="226">
        <v>0</v>
      </c>
      <c r="D23" s="226">
        <v>0</v>
      </c>
      <c r="E23" s="226">
        <v>0</v>
      </c>
      <c r="F23" s="166">
        <v>0</v>
      </c>
      <c r="G23" s="241">
        <v>0</v>
      </c>
      <c r="H23" s="242">
        <v>0</v>
      </c>
    </row>
    <row r="24" spans="1:8" ht="15.75" x14ac:dyDescent="0.25">
      <c r="A24" s="19"/>
      <c r="B24" s="165">
        <f>DATE(21,10,1)</f>
        <v>7945</v>
      </c>
      <c r="C24" s="226">
        <v>0</v>
      </c>
      <c r="D24" s="226">
        <v>0</v>
      </c>
      <c r="E24" s="226">
        <v>0</v>
      </c>
      <c r="F24" s="166">
        <v>0</v>
      </c>
      <c r="G24" s="241">
        <v>0</v>
      </c>
      <c r="H24" s="242">
        <v>0</v>
      </c>
    </row>
    <row r="25" spans="1:8" ht="15.75" x14ac:dyDescent="0.25">
      <c r="A25" s="19"/>
      <c r="B25" s="165">
        <f>DATE(21,11,1)</f>
        <v>7976</v>
      </c>
      <c r="C25" s="226">
        <v>0</v>
      </c>
      <c r="D25" s="226">
        <v>0</v>
      </c>
      <c r="E25" s="226">
        <v>0</v>
      </c>
      <c r="F25" s="166">
        <v>0</v>
      </c>
      <c r="G25" s="241">
        <v>0</v>
      </c>
      <c r="H25" s="242">
        <v>0</v>
      </c>
    </row>
    <row r="26" spans="1:8" ht="15.75" x14ac:dyDescent="0.25">
      <c r="A26" s="19"/>
      <c r="B26" s="165">
        <f>DATE(21,12,1)</f>
        <v>8006</v>
      </c>
      <c r="C26" s="226">
        <v>0</v>
      </c>
      <c r="D26" s="226">
        <v>0</v>
      </c>
      <c r="E26" s="226">
        <v>0</v>
      </c>
      <c r="F26" s="166">
        <v>0</v>
      </c>
      <c r="G26" s="241">
        <v>0</v>
      </c>
      <c r="H26" s="242">
        <v>0</v>
      </c>
    </row>
    <row r="27" spans="1:8" ht="15.75" x14ac:dyDescent="0.25">
      <c r="A27" s="19"/>
      <c r="B27" s="165">
        <f>DATE(22,1,1)</f>
        <v>8037</v>
      </c>
      <c r="C27" s="226">
        <v>0</v>
      </c>
      <c r="D27" s="226">
        <v>0</v>
      </c>
      <c r="E27" s="226">
        <v>0</v>
      </c>
      <c r="F27" s="166">
        <v>0</v>
      </c>
      <c r="G27" s="241">
        <v>0</v>
      </c>
      <c r="H27" s="242">
        <v>0</v>
      </c>
    </row>
    <row r="28" spans="1:8" ht="15.75" x14ac:dyDescent="0.25">
      <c r="A28" s="19"/>
      <c r="B28" s="165">
        <f>DATE(22,2,1)</f>
        <v>8068</v>
      </c>
      <c r="C28" s="226">
        <v>0</v>
      </c>
      <c r="D28" s="226">
        <v>0</v>
      </c>
      <c r="E28" s="226">
        <v>0</v>
      </c>
      <c r="F28" s="166">
        <v>0</v>
      </c>
      <c r="G28" s="241">
        <v>0</v>
      </c>
      <c r="H28" s="242">
        <v>0</v>
      </c>
    </row>
    <row r="29" spans="1:8" ht="15.75" thickBot="1" x14ac:dyDescent="0.25">
      <c r="A29" s="167"/>
      <c r="B29" s="165"/>
      <c r="C29" s="226"/>
      <c r="D29" s="226"/>
      <c r="E29" s="226"/>
      <c r="F29" s="166"/>
      <c r="G29" s="241"/>
      <c r="H29" s="242"/>
    </row>
    <row r="30" spans="1:8" ht="17.25" thickTop="1" thickBot="1" x14ac:dyDescent="0.3">
      <c r="A30" s="169" t="s">
        <v>14</v>
      </c>
      <c r="B30" s="155"/>
      <c r="C30" s="223">
        <f>SUM(C21:C29)</f>
        <v>0</v>
      </c>
      <c r="D30" s="223">
        <f>SUM(D21:D29)</f>
        <v>0</v>
      </c>
      <c r="E30" s="223">
        <f>SUM(E21:E29)</f>
        <v>0</v>
      </c>
      <c r="F30" s="170">
        <v>0</v>
      </c>
      <c r="G30" s="236">
        <v>0</v>
      </c>
      <c r="H30" s="237">
        <v>0</v>
      </c>
    </row>
    <row r="31" spans="1:8" ht="15.75" thickTop="1" x14ac:dyDescent="0.2">
      <c r="A31" s="171"/>
      <c r="B31" s="172"/>
      <c r="C31" s="227"/>
      <c r="D31" s="227"/>
      <c r="E31" s="227"/>
      <c r="F31" s="173"/>
      <c r="G31" s="243"/>
      <c r="H31" s="244"/>
    </row>
    <row r="32" spans="1:8" ht="15.75" x14ac:dyDescent="0.25">
      <c r="A32" s="19" t="s">
        <v>64</v>
      </c>
      <c r="B32" s="165">
        <f>DATE(21,7,1)</f>
        <v>7853</v>
      </c>
      <c r="C32" s="226">
        <v>0</v>
      </c>
      <c r="D32" s="226">
        <v>0</v>
      </c>
      <c r="E32" s="226">
        <v>0</v>
      </c>
      <c r="F32" s="166">
        <v>0</v>
      </c>
      <c r="G32" s="241">
        <v>0</v>
      </c>
      <c r="H32" s="242">
        <v>0</v>
      </c>
    </row>
    <row r="33" spans="1:8" ht="15.75" x14ac:dyDescent="0.25">
      <c r="A33" s="19"/>
      <c r="B33" s="165">
        <f>DATE(21,8,1)</f>
        <v>7884</v>
      </c>
      <c r="C33" s="226">
        <v>0</v>
      </c>
      <c r="D33" s="226">
        <v>0</v>
      </c>
      <c r="E33" s="226">
        <v>0</v>
      </c>
      <c r="F33" s="166">
        <v>0</v>
      </c>
      <c r="G33" s="241">
        <v>0</v>
      </c>
      <c r="H33" s="242">
        <v>0</v>
      </c>
    </row>
    <row r="34" spans="1:8" ht="15.75" x14ac:dyDescent="0.25">
      <c r="A34" s="19"/>
      <c r="B34" s="165">
        <f>DATE(21,9,1)</f>
        <v>7915</v>
      </c>
      <c r="C34" s="226">
        <v>0</v>
      </c>
      <c r="D34" s="226">
        <v>0</v>
      </c>
      <c r="E34" s="226">
        <v>0</v>
      </c>
      <c r="F34" s="166">
        <v>0</v>
      </c>
      <c r="G34" s="241">
        <v>0</v>
      </c>
      <c r="H34" s="242">
        <v>0</v>
      </c>
    </row>
    <row r="35" spans="1:8" ht="15.75" x14ac:dyDescent="0.25">
      <c r="A35" s="19"/>
      <c r="B35" s="165">
        <f>DATE(21,10,1)</f>
        <v>7945</v>
      </c>
      <c r="C35" s="226">
        <v>0</v>
      </c>
      <c r="D35" s="226">
        <v>0</v>
      </c>
      <c r="E35" s="226">
        <v>0</v>
      </c>
      <c r="F35" s="166">
        <v>0</v>
      </c>
      <c r="G35" s="241">
        <v>0</v>
      </c>
      <c r="H35" s="242">
        <v>0</v>
      </c>
    </row>
    <row r="36" spans="1:8" ht="15.75" x14ac:dyDescent="0.25">
      <c r="A36" s="19"/>
      <c r="B36" s="165">
        <f>DATE(21,11,1)</f>
        <v>7976</v>
      </c>
      <c r="C36" s="226">
        <v>0</v>
      </c>
      <c r="D36" s="226">
        <v>0</v>
      </c>
      <c r="E36" s="226">
        <v>0</v>
      </c>
      <c r="F36" s="166">
        <v>0</v>
      </c>
      <c r="G36" s="241">
        <v>0</v>
      </c>
      <c r="H36" s="242">
        <v>0</v>
      </c>
    </row>
    <row r="37" spans="1:8" ht="15.75" x14ac:dyDescent="0.25">
      <c r="A37" s="19"/>
      <c r="B37" s="165">
        <f>DATE(21,12,1)</f>
        <v>8006</v>
      </c>
      <c r="C37" s="226">
        <v>0</v>
      </c>
      <c r="D37" s="226">
        <v>0</v>
      </c>
      <c r="E37" s="226">
        <v>0</v>
      </c>
      <c r="F37" s="166">
        <v>0</v>
      </c>
      <c r="G37" s="241">
        <v>0</v>
      </c>
      <c r="H37" s="242">
        <v>0</v>
      </c>
    </row>
    <row r="38" spans="1:8" ht="15.75" x14ac:dyDescent="0.25">
      <c r="A38" s="19"/>
      <c r="B38" s="165">
        <f>DATE(22,1,1)</f>
        <v>8037</v>
      </c>
      <c r="C38" s="226">
        <v>0</v>
      </c>
      <c r="D38" s="226">
        <v>0</v>
      </c>
      <c r="E38" s="226">
        <v>0</v>
      </c>
      <c r="F38" s="166">
        <v>0</v>
      </c>
      <c r="G38" s="241">
        <v>0</v>
      </c>
      <c r="H38" s="242">
        <v>0</v>
      </c>
    </row>
    <row r="39" spans="1:8" ht="15.75" x14ac:dyDescent="0.25">
      <c r="A39" s="19"/>
      <c r="B39" s="165">
        <f>DATE(22,2,1)</f>
        <v>8068</v>
      </c>
      <c r="C39" s="226">
        <v>0</v>
      </c>
      <c r="D39" s="226">
        <v>0</v>
      </c>
      <c r="E39" s="226">
        <v>0</v>
      </c>
      <c r="F39" s="166">
        <v>0</v>
      </c>
      <c r="G39" s="241">
        <v>0</v>
      </c>
      <c r="H39" s="242">
        <v>0</v>
      </c>
    </row>
    <row r="40" spans="1:8" ht="15.75" thickBot="1" x14ac:dyDescent="0.25">
      <c r="A40" s="167"/>
      <c r="B40" s="165"/>
      <c r="C40" s="226"/>
      <c r="D40" s="226"/>
      <c r="E40" s="226"/>
      <c r="F40" s="166"/>
      <c r="G40" s="241"/>
      <c r="H40" s="242"/>
    </row>
    <row r="41" spans="1:8" ht="17.25" thickTop="1" thickBot="1" x14ac:dyDescent="0.3">
      <c r="A41" s="174" t="s">
        <v>14</v>
      </c>
      <c r="B41" s="175"/>
      <c r="C41" s="228">
        <f>SUM(C32:C40)</f>
        <v>0</v>
      </c>
      <c r="D41" s="228">
        <f>SUM(D32:D40)</f>
        <v>0</v>
      </c>
      <c r="E41" s="228">
        <f>SUM(E32:E40)</f>
        <v>0</v>
      </c>
      <c r="F41" s="176">
        <v>0</v>
      </c>
      <c r="G41" s="245">
        <v>0</v>
      </c>
      <c r="H41" s="246">
        <v>0</v>
      </c>
    </row>
    <row r="42" spans="1:8" ht="15.75" thickTop="1" x14ac:dyDescent="0.2">
      <c r="A42" s="167"/>
      <c r="B42" s="168"/>
      <c r="C42" s="226"/>
      <c r="D42" s="226"/>
      <c r="E42" s="226"/>
      <c r="F42" s="166"/>
      <c r="G42" s="241"/>
      <c r="H42" s="242"/>
    </row>
    <row r="43" spans="1:8" ht="15.75" x14ac:dyDescent="0.25">
      <c r="A43" s="177" t="s">
        <v>59</v>
      </c>
      <c r="B43" s="165">
        <f>DATE(21,7,1)</f>
        <v>7853</v>
      </c>
      <c r="C43" s="226">
        <v>0</v>
      </c>
      <c r="D43" s="226">
        <v>0</v>
      </c>
      <c r="E43" s="226">
        <v>0</v>
      </c>
      <c r="F43" s="166">
        <v>0</v>
      </c>
      <c r="G43" s="241">
        <v>0</v>
      </c>
      <c r="H43" s="242">
        <v>0</v>
      </c>
    </row>
    <row r="44" spans="1:8" ht="15.75" x14ac:dyDescent="0.25">
      <c r="A44" s="177"/>
      <c r="B44" s="165">
        <f>DATE(21,8,1)</f>
        <v>7884</v>
      </c>
      <c r="C44" s="226">
        <v>0</v>
      </c>
      <c r="D44" s="226">
        <v>0</v>
      </c>
      <c r="E44" s="226">
        <v>0</v>
      </c>
      <c r="F44" s="166">
        <v>0</v>
      </c>
      <c r="G44" s="241">
        <v>0</v>
      </c>
      <c r="H44" s="242">
        <v>0</v>
      </c>
    </row>
    <row r="45" spans="1:8" ht="15.75" x14ac:dyDescent="0.25">
      <c r="A45" s="177"/>
      <c r="B45" s="165">
        <f>DATE(21,9,1)</f>
        <v>7915</v>
      </c>
      <c r="C45" s="226">
        <v>0</v>
      </c>
      <c r="D45" s="226">
        <v>0</v>
      </c>
      <c r="E45" s="226">
        <v>0</v>
      </c>
      <c r="F45" s="166">
        <v>0</v>
      </c>
      <c r="G45" s="241">
        <v>0</v>
      </c>
      <c r="H45" s="242">
        <v>0</v>
      </c>
    </row>
    <row r="46" spans="1:8" ht="15.75" x14ac:dyDescent="0.25">
      <c r="A46" s="177"/>
      <c r="B46" s="165">
        <f>DATE(21,10,1)</f>
        <v>7945</v>
      </c>
      <c r="C46" s="226">
        <v>0</v>
      </c>
      <c r="D46" s="226">
        <v>0</v>
      </c>
      <c r="E46" s="226">
        <v>0</v>
      </c>
      <c r="F46" s="166">
        <v>0</v>
      </c>
      <c r="G46" s="241">
        <v>0</v>
      </c>
      <c r="H46" s="242">
        <v>0</v>
      </c>
    </row>
    <row r="47" spans="1:8" ht="15.75" x14ac:dyDescent="0.25">
      <c r="A47" s="177"/>
      <c r="B47" s="165">
        <f>DATE(21,11,1)</f>
        <v>7976</v>
      </c>
      <c r="C47" s="226">
        <v>0</v>
      </c>
      <c r="D47" s="226">
        <v>0</v>
      </c>
      <c r="E47" s="226">
        <v>0</v>
      </c>
      <c r="F47" s="166">
        <v>0</v>
      </c>
      <c r="G47" s="241">
        <v>0</v>
      </c>
      <c r="H47" s="242">
        <v>0</v>
      </c>
    </row>
    <row r="48" spans="1:8" ht="15.75" x14ac:dyDescent="0.25">
      <c r="A48" s="177"/>
      <c r="B48" s="165">
        <f>DATE(21,12,1)</f>
        <v>8006</v>
      </c>
      <c r="C48" s="226">
        <v>0</v>
      </c>
      <c r="D48" s="226">
        <v>0</v>
      </c>
      <c r="E48" s="226">
        <v>0</v>
      </c>
      <c r="F48" s="166">
        <v>0</v>
      </c>
      <c r="G48" s="241">
        <v>0</v>
      </c>
      <c r="H48" s="242">
        <v>0</v>
      </c>
    </row>
    <row r="49" spans="1:8" ht="15.75" x14ac:dyDescent="0.25">
      <c r="A49" s="177"/>
      <c r="B49" s="165">
        <f>DATE(22,1,1)</f>
        <v>8037</v>
      </c>
      <c r="C49" s="226">
        <v>0</v>
      </c>
      <c r="D49" s="226">
        <v>0</v>
      </c>
      <c r="E49" s="226">
        <v>0</v>
      </c>
      <c r="F49" s="166">
        <v>0</v>
      </c>
      <c r="G49" s="241">
        <v>0</v>
      </c>
      <c r="H49" s="242">
        <v>0</v>
      </c>
    </row>
    <row r="50" spans="1:8" ht="15.75" x14ac:dyDescent="0.25">
      <c r="A50" s="177"/>
      <c r="B50" s="165">
        <f>DATE(22,2,1)</f>
        <v>8068</v>
      </c>
      <c r="C50" s="226">
        <v>0</v>
      </c>
      <c r="D50" s="226">
        <v>0</v>
      </c>
      <c r="E50" s="226">
        <v>0</v>
      </c>
      <c r="F50" s="166">
        <v>0</v>
      </c>
      <c r="G50" s="241">
        <v>0</v>
      </c>
      <c r="H50" s="242">
        <v>0</v>
      </c>
    </row>
    <row r="51" spans="1:8" ht="15.75" thickBot="1" x14ac:dyDescent="0.25">
      <c r="A51" s="167"/>
      <c r="B51" s="168"/>
      <c r="C51" s="226"/>
      <c r="D51" s="226"/>
      <c r="E51" s="226"/>
      <c r="F51" s="166"/>
      <c r="G51" s="241"/>
      <c r="H51" s="242"/>
    </row>
    <row r="52" spans="1:8" ht="17.25" thickTop="1" thickBot="1" x14ac:dyDescent="0.3">
      <c r="A52" s="174" t="s">
        <v>14</v>
      </c>
      <c r="B52" s="178"/>
      <c r="C52" s="228">
        <f>SUM(C43:C51)</f>
        <v>0</v>
      </c>
      <c r="D52" s="228">
        <f>SUM(D43:D51)</f>
        <v>0</v>
      </c>
      <c r="E52" s="228">
        <f>SUM(E43:E51)</f>
        <v>0</v>
      </c>
      <c r="F52" s="176">
        <v>0</v>
      </c>
      <c r="G52" s="245">
        <v>0</v>
      </c>
      <c r="H52" s="246">
        <v>0</v>
      </c>
    </row>
    <row r="53" spans="1:8" ht="15.75" thickTop="1" x14ac:dyDescent="0.2">
      <c r="A53" s="167"/>
      <c r="B53" s="168"/>
      <c r="C53" s="226"/>
      <c r="D53" s="226"/>
      <c r="E53" s="226"/>
      <c r="F53" s="166"/>
      <c r="G53" s="241"/>
      <c r="H53" s="242"/>
    </row>
    <row r="54" spans="1:8" ht="15.75" x14ac:dyDescent="0.25">
      <c r="A54" s="164" t="s">
        <v>62</v>
      </c>
      <c r="B54" s="165">
        <f>DATE(21,7,1)</f>
        <v>7853</v>
      </c>
      <c r="C54" s="226">
        <v>0</v>
      </c>
      <c r="D54" s="226">
        <v>0</v>
      </c>
      <c r="E54" s="226">
        <v>0</v>
      </c>
      <c r="F54" s="166">
        <v>0</v>
      </c>
      <c r="G54" s="241">
        <v>0</v>
      </c>
      <c r="H54" s="242">
        <v>0</v>
      </c>
    </row>
    <row r="55" spans="1:8" ht="15.75" x14ac:dyDescent="0.25">
      <c r="A55" s="164"/>
      <c r="B55" s="165">
        <f>DATE(21,8,1)</f>
        <v>7884</v>
      </c>
      <c r="C55" s="226">
        <v>0</v>
      </c>
      <c r="D55" s="226">
        <v>0</v>
      </c>
      <c r="E55" s="226">
        <v>0</v>
      </c>
      <c r="F55" s="166">
        <v>0</v>
      </c>
      <c r="G55" s="241">
        <v>0</v>
      </c>
      <c r="H55" s="242">
        <v>0</v>
      </c>
    </row>
    <row r="56" spans="1:8" ht="15.75" x14ac:dyDescent="0.25">
      <c r="A56" s="164"/>
      <c r="B56" s="165">
        <f>DATE(21,9,1)</f>
        <v>7915</v>
      </c>
      <c r="C56" s="226">
        <v>0</v>
      </c>
      <c r="D56" s="226">
        <v>0</v>
      </c>
      <c r="E56" s="226">
        <v>0</v>
      </c>
      <c r="F56" s="166">
        <v>0</v>
      </c>
      <c r="G56" s="241">
        <v>0</v>
      </c>
      <c r="H56" s="242">
        <v>0</v>
      </c>
    </row>
    <row r="57" spans="1:8" ht="15.75" x14ac:dyDescent="0.25">
      <c r="A57" s="164"/>
      <c r="B57" s="165">
        <f>DATE(21,10,1)</f>
        <v>7945</v>
      </c>
      <c r="C57" s="226">
        <v>0</v>
      </c>
      <c r="D57" s="226">
        <v>0</v>
      </c>
      <c r="E57" s="226">
        <v>0</v>
      </c>
      <c r="F57" s="166">
        <v>0</v>
      </c>
      <c r="G57" s="241">
        <v>0</v>
      </c>
      <c r="H57" s="242">
        <v>0</v>
      </c>
    </row>
    <row r="58" spans="1:8" ht="15.75" x14ac:dyDescent="0.25">
      <c r="A58" s="164"/>
      <c r="B58" s="165">
        <f>DATE(21,11,1)</f>
        <v>7976</v>
      </c>
      <c r="C58" s="226">
        <v>0</v>
      </c>
      <c r="D58" s="226">
        <v>0</v>
      </c>
      <c r="E58" s="226">
        <v>0</v>
      </c>
      <c r="F58" s="166">
        <v>0</v>
      </c>
      <c r="G58" s="241">
        <v>0</v>
      </c>
      <c r="H58" s="242">
        <v>0</v>
      </c>
    </row>
    <row r="59" spans="1:8" ht="15.75" x14ac:dyDescent="0.25">
      <c r="A59" s="164"/>
      <c r="B59" s="165">
        <f>DATE(21,12,1)</f>
        <v>8006</v>
      </c>
      <c r="C59" s="226">
        <v>0</v>
      </c>
      <c r="D59" s="226">
        <v>0</v>
      </c>
      <c r="E59" s="226">
        <v>0</v>
      </c>
      <c r="F59" s="166">
        <v>0</v>
      </c>
      <c r="G59" s="241">
        <v>0</v>
      </c>
      <c r="H59" s="242">
        <v>0</v>
      </c>
    </row>
    <row r="60" spans="1:8" ht="15.75" x14ac:dyDescent="0.25">
      <c r="A60" s="164"/>
      <c r="B60" s="165">
        <f>DATE(22,1,1)</f>
        <v>8037</v>
      </c>
      <c r="C60" s="226">
        <v>0</v>
      </c>
      <c r="D60" s="226">
        <v>0</v>
      </c>
      <c r="E60" s="226">
        <v>0</v>
      </c>
      <c r="F60" s="166">
        <v>0</v>
      </c>
      <c r="G60" s="241">
        <v>0</v>
      </c>
      <c r="H60" s="242">
        <v>0</v>
      </c>
    </row>
    <row r="61" spans="1:8" ht="15.75" x14ac:dyDescent="0.25">
      <c r="A61" s="164"/>
      <c r="B61" s="165">
        <f>DATE(22,2,1)</f>
        <v>8068</v>
      </c>
      <c r="C61" s="226">
        <v>0</v>
      </c>
      <c r="D61" s="226">
        <v>0</v>
      </c>
      <c r="E61" s="226">
        <v>0</v>
      </c>
      <c r="F61" s="166">
        <v>0</v>
      </c>
      <c r="G61" s="241">
        <v>0</v>
      </c>
      <c r="H61" s="242">
        <v>0</v>
      </c>
    </row>
    <row r="62" spans="1:8" ht="15.75" thickBot="1" x14ac:dyDescent="0.25">
      <c r="A62" s="167"/>
      <c r="B62" s="165"/>
      <c r="C62" s="226"/>
      <c r="D62" s="226"/>
      <c r="E62" s="226"/>
      <c r="F62" s="166"/>
      <c r="G62" s="241"/>
      <c r="H62" s="242"/>
    </row>
    <row r="63" spans="1:8" ht="17.25" thickTop="1" thickBot="1" x14ac:dyDescent="0.3">
      <c r="A63" s="174" t="s">
        <v>14</v>
      </c>
      <c r="B63" s="175"/>
      <c r="C63" s="228">
        <f>SUM(C54:C62)</f>
        <v>0</v>
      </c>
      <c r="D63" s="230">
        <f>SUM(D54:D62)</f>
        <v>0</v>
      </c>
      <c r="E63" s="271">
        <f>SUM(E54:E62)</f>
        <v>0</v>
      </c>
      <c r="F63" s="176">
        <v>0</v>
      </c>
      <c r="G63" s="245">
        <v>0</v>
      </c>
      <c r="H63" s="246">
        <v>0</v>
      </c>
    </row>
    <row r="64" spans="1:8" ht="15.75" thickTop="1" x14ac:dyDescent="0.2">
      <c r="A64" s="167"/>
      <c r="B64" s="168"/>
      <c r="C64" s="226"/>
      <c r="D64" s="226"/>
      <c r="E64" s="226"/>
      <c r="F64" s="166"/>
      <c r="G64" s="241"/>
      <c r="H64" s="242"/>
    </row>
    <row r="65" spans="1:8" ht="15.75" x14ac:dyDescent="0.25">
      <c r="A65" s="164" t="s">
        <v>66</v>
      </c>
      <c r="B65" s="165">
        <f>DATE(21,7,1)</f>
        <v>7853</v>
      </c>
      <c r="C65" s="226">
        <v>0</v>
      </c>
      <c r="D65" s="226">
        <v>0</v>
      </c>
      <c r="E65" s="226">
        <v>0</v>
      </c>
      <c r="F65" s="166">
        <v>0</v>
      </c>
      <c r="G65" s="241">
        <v>0</v>
      </c>
      <c r="H65" s="242">
        <v>0</v>
      </c>
    </row>
    <row r="66" spans="1:8" ht="15.75" x14ac:dyDescent="0.25">
      <c r="A66" s="164"/>
      <c r="B66" s="165">
        <f>DATE(21,8,1)</f>
        <v>7884</v>
      </c>
      <c r="C66" s="226">
        <v>0</v>
      </c>
      <c r="D66" s="226">
        <v>0</v>
      </c>
      <c r="E66" s="226">
        <v>0</v>
      </c>
      <c r="F66" s="166">
        <v>0</v>
      </c>
      <c r="G66" s="241">
        <v>0</v>
      </c>
      <c r="H66" s="242">
        <v>0</v>
      </c>
    </row>
    <row r="67" spans="1:8" ht="15.75" x14ac:dyDescent="0.25">
      <c r="A67" s="164"/>
      <c r="B67" s="165">
        <f>DATE(21,9,1)</f>
        <v>7915</v>
      </c>
      <c r="C67" s="226">
        <v>0</v>
      </c>
      <c r="D67" s="226">
        <v>0</v>
      </c>
      <c r="E67" s="226">
        <v>0</v>
      </c>
      <c r="F67" s="166">
        <v>0</v>
      </c>
      <c r="G67" s="241">
        <v>0</v>
      </c>
      <c r="H67" s="242">
        <v>0</v>
      </c>
    </row>
    <row r="68" spans="1:8" ht="15.75" x14ac:dyDescent="0.25">
      <c r="A68" s="164"/>
      <c r="B68" s="165">
        <f>DATE(21,10,1)</f>
        <v>7945</v>
      </c>
      <c r="C68" s="226">
        <v>0</v>
      </c>
      <c r="D68" s="226">
        <v>0</v>
      </c>
      <c r="E68" s="226">
        <v>0</v>
      </c>
      <c r="F68" s="166">
        <v>0</v>
      </c>
      <c r="G68" s="241">
        <v>0</v>
      </c>
      <c r="H68" s="242">
        <v>0</v>
      </c>
    </row>
    <row r="69" spans="1:8" ht="15.75" x14ac:dyDescent="0.25">
      <c r="A69" s="164"/>
      <c r="B69" s="165">
        <f>DATE(21,11,1)</f>
        <v>7976</v>
      </c>
      <c r="C69" s="226">
        <v>0</v>
      </c>
      <c r="D69" s="226">
        <v>0</v>
      </c>
      <c r="E69" s="226">
        <v>0</v>
      </c>
      <c r="F69" s="166">
        <v>0</v>
      </c>
      <c r="G69" s="241">
        <v>0</v>
      </c>
      <c r="H69" s="242">
        <v>0</v>
      </c>
    </row>
    <row r="70" spans="1:8" ht="15.75" x14ac:dyDescent="0.25">
      <c r="A70" s="164"/>
      <c r="B70" s="165">
        <f>DATE(21,12,1)</f>
        <v>8006</v>
      </c>
      <c r="C70" s="226">
        <v>0</v>
      </c>
      <c r="D70" s="226">
        <v>0</v>
      </c>
      <c r="E70" s="226">
        <v>0</v>
      </c>
      <c r="F70" s="166">
        <v>0</v>
      </c>
      <c r="G70" s="241">
        <v>0</v>
      </c>
      <c r="H70" s="242">
        <v>0</v>
      </c>
    </row>
    <row r="71" spans="1:8" ht="15.75" x14ac:dyDescent="0.25">
      <c r="A71" s="164"/>
      <c r="B71" s="165">
        <f>DATE(22,1,1)</f>
        <v>8037</v>
      </c>
      <c r="C71" s="226">
        <v>0</v>
      </c>
      <c r="D71" s="226">
        <v>0</v>
      </c>
      <c r="E71" s="226">
        <v>0</v>
      </c>
      <c r="F71" s="166">
        <v>0</v>
      </c>
      <c r="G71" s="241">
        <v>0</v>
      </c>
      <c r="H71" s="242">
        <v>0</v>
      </c>
    </row>
    <row r="72" spans="1:8" ht="15.75" x14ac:dyDescent="0.25">
      <c r="A72" s="164"/>
      <c r="B72" s="165">
        <f>DATE(22,2,1)</f>
        <v>8068</v>
      </c>
      <c r="C72" s="226">
        <v>0</v>
      </c>
      <c r="D72" s="226">
        <v>0</v>
      </c>
      <c r="E72" s="226">
        <v>0</v>
      </c>
      <c r="F72" s="166">
        <v>0</v>
      </c>
      <c r="G72" s="241">
        <v>0</v>
      </c>
      <c r="H72" s="242">
        <v>0</v>
      </c>
    </row>
    <row r="73" spans="1:8" ht="15.75" thickBot="1" x14ac:dyDescent="0.25">
      <c r="A73" s="167"/>
      <c r="B73" s="165"/>
      <c r="C73" s="226"/>
      <c r="D73" s="226"/>
      <c r="E73" s="226"/>
      <c r="F73" s="166"/>
      <c r="G73" s="241"/>
      <c r="H73" s="242"/>
    </row>
    <row r="74" spans="1:8" ht="17.25" thickTop="1" thickBot="1" x14ac:dyDescent="0.3">
      <c r="A74" s="174" t="s">
        <v>14</v>
      </c>
      <c r="B74" s="175"/>
      <c r="C74" s="228">
        <f>SUM(C65:C73)</f>
        <v>0</v>
      </c>
      <c r="D74" s="230">
        <f>SUM(D65:D73)</f>
        <v>0</v>
      </c>
      <c r="E74" s="271">
        <f>SUM(E65:E73)</f>
        <v>0</v>
      </c>
      <c r="F74" s="176">
        <v>0</v>
      </c>
      <c r="G74" s="245">
        <v>0</v>
      </c>
      <c r="H74" s="246">
        <v>0</v>
      </c>
    </row>
    <row r="75" spans="1:8" ht="15.75" thickTop="1" x14ac:dyDescent="0.2">
      <c r="A75" s="167"/>
      <c r="B75" s="168"/>
      <c r="C75" s="226"/>
      <c r="D75" s="226"/>
      <c r="E75" s="226"/>
      <c r="F75" s="166"/>
      <c r="G75" s="241"/>
      <c r="H75" s="242"/>
    </row>
    <row r="76" spans="1:8" ht="15.75" x14ac:dyDescent="0.25">
      <c r="A76" s="164" t="s">
        <v>70</v>
      </c>
      <c r="B76" s="165">
        <f>DATE(21,7,1)</f>
        <v>7853</v>
      </c>
      <c r="C76" s="226">
        <v>0</v>
      </c>
      <c r="D76" s="226">
        <v>0</v>
      </c>
      <c r="E76" s="226">
        <v>0</v>
      </c>
      <c r="F76" s="166">
        <v>0</v>
      </c>
      <c r="G76" s="241">
        <v>0</v>
      </c>
      <c r="H76" s="242">
        <v>0</v>
      </c>
    </row>
    <row r="77" spans="1:8" ht="15.75" x14ac:dyDescent="0.25">
      <c r="A77" s="164"/>
      <c r="B77" s="165">
        <f>DATE(21,8,1)</f>
        <v>7884</v>
      </c>
      <c r="C77" s="226">
        <v>0</v>
      </c>
      <c r="D77" s="226">
        <v>0</v>
      </c>
      <c r="E77" s="226">
        <v>0</v>
      </c>
      <c r="F77" s="166">
        <v>0</v>
      </c>
      <c r="G77" s="241">
        <v>0</v>
      </c>
      <c r="H77" s="242">
        <v>0</v>
      </c>
    </row>
    <row r="78" spans="1:8" ht="15.75" x14ac:dyDescent="0.25">
      <c r="A78" s="164"/>
      <c r="B78" s="165">
        <f>DATE(21,9,1)</f>
        <v>7915</v>
      </c>
      <c r="C78" s="226">
        <v>0</v>
      </c>
      <c r="D78" s="226">
        <v>0</v>
      </c>
      <c r="E78" s="226">
        <v>0</v>
      </c>
      <c r="F78" s="166">
        <v>0</v>
      </c>
      <c r="G78" s="241">
        <v>0</v>
      </c>
      <c r="H78" s="242">
        <v>0</v>
      </c>
    </row>
    <row r="79" spans="1:8" ht="15.75" x14ac:dyDescent="0.25">
      <c r="A79" s="164"/>
      <c r="B79" s="165">
        <f>DATE(21,10,1)</f>
        <v>7945</v>
      </c>
      <c r="C79" s="226">
        <v>0</v>
      </c>
      <c r="D79" s="226">
        <v>0</v>
      </c>
      <c r="E79" s="226">
        <v>0</v>
      </c>
      <c r="F79" s="166">
        <v>0</v>
      </c>
      <c r="G79" s="241">
        <v>0</v>
      </c>
      <c r="H79" s="242">
        <v>0</v>
      </c>
    </row>
    <row r="80" spans="1:8" ht="15.75" x14ac:dyDescent="0.25">
      <c r="A80" s="164"/>
      <c r="B80" s="165">
        <f>DATE(21,11,1)</f>
        <v>7976</v>
      </c>
      <c r="C80" s="226">
        <v>0</v>
      </c>
      <c r="D80" s="226">
        <v>0</v>
      </c>
      <c r="E80" s="226">
        <v>0</v>
      </c>
      <c r="F80" s="166">
        <v>0</v>
      </c>
      <c r="G80" s="241">
        <v>0</v>
      </c>
      <c r="H80" s="242">
        <v>0</v>
      </c>
    </row>
    <row r="81" spans="1:8" ht="15.75" x14ac:dyDescent="0.25">
      <c r="A81" s="164"/>
      <c r="B81" s="165">
        <f>DATE(21,12,1)</f>
        <v>8006</v>
      </c>
      <c r="C81" s="226">
        <v>0</v>
      </c>
      <c r="D81" s="226">
        <v>0</v>
      </c>
      <c r="E81" s="226">
        <v>0</v>
      </c>
      <c r="F81" s="166">
        <v>0</v>
      </c>
      <c r="G81" s="241">
        <v>0</v>
      </c>
      <c r="H81" s="242">
        <v>0</v>
      </c>
    </row>
    <row r="82" spans="1:8" ht="15.75" x14ac:dyDescent="0.25">
      <c r="A82" s="164"/>
      <c r="B82" s="165">
        <f>DATE(22,1,1)</f>
        <v>8037</v>
      </c>
      <c r="C82" s="226">
        <v>0</v>
      </c>
      <c r="D82" s="226">
        <v>0</v>
      </c>
      <c r="E82" s="226">
        <v>0</v>
      </c>
      <c r="F82" s="166">
        <v>0</v>
      </c>
      <c r="G82" s="241">
        <v>0</v>
      </c>
      <c r="H82" s="242">
        <v>0</v>
      </c>
    </row>
    <row r="83" spans="1:8" ht="15.75" x14ac:dyDescent="0.25">
      <c r="A83" s="164"/>
      <c r="B83" s="165">
        <f>DATE(22,2,1)</f>
        <v>8068</v>
      </c>
      <c r="C83" s="226">
        <v>0</v>
      </c>
      <c r="D83" s="226">
        <v>0</v>
      </c>
      <c r="E83" s="226">
        <v>0</v>
      </c>
      <c r="F83" s="166">
        <v>0</v>
      </c>
      <c r="G83" s="241">
        <v>0</v>
      </c>
      <c r="H83" s="242">
        <v>0</v>
      </c>
    </row>
    <row r="84" spans="1:8" ht="15.75" thickBot="1" x14ac:dyDescent="0.25">
      <c r="A84" s="167"/>
      <c r="B84" s="165"/>
      <c r="C84" s="226"/>
      <c r="D84" s="226"/>
      <c r="E84" s="226"/>
      <c r="F84" s="166"/>
      <c r="G84" s="241"/>
      <c r="H84" s="242"/>
    </row>
    <row r="85" spans="1:8" ht="17.25" thickTop="1" thickBot="1" x14ac:dyDescent="0.3">
      <c r="A85" s="174" t="s">
        <v>14</v>
      </c>
      <c r="B85" s="175"/>
      <c r="C85" s="228">
        <f>SUM(C76:C84)</f>
        <v>0</v>
      </c>
      <c r="D85" s="230">
        <f>SUM(D76:D84)</f>
        <v>0</v>
      </c>
      <c r="E85" s="271">
        <f>SUM(E76:E84)</f>
        <v>0</v>
      </c>
      <c r="F85" s="176">
        <v>0</v>
      </c>
      <c r="G85" s="245">
        <v>0</v>
      </c>
      <c r="H85" s="246">
        <v>0</v>
      </c>
    </row>
    <row r="86" spans="1:8" ht="15.75" thickTop="1" x14ac:dyDescent="0.2">
      <c r="A86" s="167"/>
      <c r="B86" s="168"/>
      <c r="C86" s="226"/>
      <c r="D86" s="226"/>
      <c r="E86" s="226"/>
      <c r="F86" s="166"/>
      <c r="G86" s="241"/>
      <c r="H86" s="242"/>
    </row>
    <row r="87" spans="1:8" ht="15.75" x14ac:dyDescent="0.25">
      <c r="A87" s="164" t="s">
        <v>60</v>
      </c>
      <c r="B87" s="165">
        <f>DATE(21,7,1)</f>
        <v>7853</v>
      </c>
      <c r="C87" s="226">
        <v>0</v>
      </c>
      <c r="D87" s="226">
        <v>0</v>
      </c>
      <c r="E87" s="226">
        <v>0</v>
      </c>
      <c r="F87" s="166">
        <v>0</v>
      </c>
      <c r="G87" s="241">
        <v>0</v>
      </c>
      <c r="H87" s="242">
        <v>0</v>
      </c>
    </row>
    <row r="88" spans="1:8" ht="15.75" x14ac:dyDescent="0.25">
      <c r="A88" s="164"/>
      <c r="B88" s="165">
        <f>DATE(21,8,1)</f>
        <v>7884</v>
      </c>
      <c r="C88" s="226">
        <v>0</v>
      </c>
      <c r="D88" s="226">
        <v>0</v>
      </c>
      <c r="E88" s="226">
        <v>118455</v>
      </c>
      <c r="F88" s="166">
        <v>-1</v>
      </c>
      <c r="G88" s="241">
        <v>0</v>
      </c>
      <c r="H88" s="242">
        <v>0</v>
      </c>
    </row>
    <row r="89" spans="1:8" ht="15.75" x14ac:dyDescent="0.25">
      <c r="A89" s="164"/>
      <c r="B89" s="165">
        <f>DATE(21,9,1)</f>
        <v>7915</v>
      </c>
      <c r="C89" s="226">
        <v>0</v>
      </c>
      <c r="D89" s="226">
        <v>0</v>
      </c>
      <c r="E89" s="226">
        <v>106241</v>
      </c>
      <c r="F89" s="166">
        <v>-1</v>
      </c>
      <c r="G89" s="241">
        <v>0</v>
      </c>
      <c r="H89" s="242">
        <v>0</v>
      </c>
    </row>
    <row r="90" spans="1:8" ht="15.75" x14ac:dyDescent="0.25">
      <c r="A90" s="164"/>
      <c r="B90" s="165">
        <f>DATE(21,10,1)</f>
        <v>7945</v>
      </c>
      <c r="C90" s="226">
        <v>0</v>
      </c>
      <c r="D90" s="226">
        <v>0</v>
      </c>
      <c r="E90" s="226">
        <v>82618</v>
      </c>
      <c r="F90" s="166">
        <v>-1</v>
      </c>
      <c r="G90" s="241">
        <v>0</v>
      </c>
      <c r="H90" s="242">
        <v>0</v>
      </c>
    </row>
    <row r="91" spans="1:8" ht="15.75" x14ac:dyDescent="0.25">
      <c r="A91" s="164"/>
      <c r="B91" s="165">
        <f>DATE(21,11,1)</f>
        <v>7976</v>
      </c>
      <c r="C91" s="226">
        <v>0</v>
      </c>
      <c r="D91" s="226">
        <v>0</v>
      </c>
      <c r="E91" s="226">
        <v>81702.080000000002</v>
      </c>
      <c r="F91" s="166">
        <v>-1</v>
      </c>
      <c r="G91" s="241">
        <v>0</v>
      </c>
      <c r="H91" s="242">
        <v>0</v>
      </c>
    </row>
    <row r="92" spans="1:8" ht="15.75" x14ac:dyDescent="0.25">
      <c r="A92" s="164"/>
      <c r="B92" s="165">
        <f>DATE(21,12,1)</f>
        <v>8006</v>
      </c>
      <c r="C92" s="226">
        <v>0</v>
      </c>
      <c r="D92" s="226">
        <v>0</v>
      </c>
      <c r="E92" s="226">
        <v>84775</v>
      </c>
      <c r="F92" s="166">
        <v>-1</v>
      </c>
      <c r="G92" s="241">
        <v>0</v>
      </c>
      <c r="H92" s="242">
        <v>0</v>
      </c>
    </row>
    <row r="93" spans="1:8" ht="15.75" x14ac:dyDescent="0.25">
      <c r="A93" s="164"/>
      <c r="B93" s="165">
        <f>DATE(22,1,1)</f>
        <v>8037</v>
      </c>
      <c r="C93" s="226">
        <v>0</v>
      </c>
      <c r="D93" s="226">
        <v>0</v>
      </c>
      <c r="E93" s="226">
        <v>127657</v>
      </c>
      <c r="F93" s="166">
        <v>-1</v>
      </c>
      <c r="G93" s="241">
        <v>0</v>
      </c>
      <c r="H93" s="242">
        <v>0</v>
      </c>
    </row>
    <row r="94" spans="1:8" ht="15.75" x14ac:dyDescent="0.25">
      <c r="A94" s="164"/>
      <c r="B94" s="165">
        <f>DATE(22,2,1)</f>
        <v>8068</v>
      </c>
      <c r="C94" s="226">
        <v>0</v>
      </c>
      <c r="D94" s="226">
        <v>0</v>
      </c>
      <c r="E94" s="226">
        <v>94650</v>
      </c>
      <c r="F94" s="166">
        <v>-1</v>
      </c>
      <c r="G94" s="241">
        <v>0</v>
      </c>
      <c r="H94" s="242">
        <v>0</v>
      </c>
    </row>
    <row r="95" spans="1:8" ht="15.75" thickBot="1" x14ac:dyDescent="0.25">
      <c r="A95" s="167"/>
      <c r="B95" s="165"/>
      <c r="C95" s="226"/>
      <c r="D95" s="226"/>
      <c r="E95" s="226"/>
      <c r="F95" s="166"/>
      <c r="G95" s="241"/>
      <c r="H95" s="242"/>
    </row>
    <row r="96" spans="1:8" ht="17.25" thickTop="1" thickBot="1" x14ac:dyDescent="0.3">
      <c r="A96" s="174" t="s">
        <v>14</v>
      </c>
      <c r="B96" s="175"/>
      <c r="C96" s="228">
        <f>SUM(C87:C95)</f>
        <v>0</v>
      </c>
      <c r="D96" s="230">
        <f>SUM(D87:D95)</f>
        <v>0</v>
      </c>
      <c r="E96" s="271">
        <f>SUM(E87:E95)</f>
        <v>696098.08000000007</v>
      </c>
      <c r="F96" s="176">
        <f>+(D96-E96)/E96</f>
        <v>-1</v>
      </c>
      <c r="G96" s="249">
        <v>0</v>
      </c>
      <c r="H96" s="270">
        <v>0</v>
      </c>
    </row>
    <row r="97" spans="1:8" ht="15.75" thickTop="1" x14ac:dyDescent="0.2">
      <c r="A97" s="167"/>
      <c r="B97" s="179"/>
      <c r="C97" s="229"/>
      <c r="D97" s="229"/>
      <c r="E97" s="229"/>
      <c r="F97" s="180"/>
      <c r="G97" s="247"/>
      <c r="H97" s="248"/>
    </row>
    <row r="98" spans="1:8" ht="15.75" x14ac:dyDescent="0.25">
      <c r="A98" s="164" t="s">
        <v>16</v>
      </c>
      <c r="B98" s="165">
        <f>DATE(21,7,1)</f>
        <v>7853</v>
      </c>
      <c r="C98" s="226">
        <v>0</v>
      </c>
      <c r="D98" s="226">
        <v>0</v>
      </c>
      <c r="E98" s="226">
        <v>0</v>
      </c>
      <c r="F98" s="166">
        <v>0</v>
      </c>
      <c r="G98" s="241">
        <v>0</v>
      </c>
      <c r="H98" s="242">
        <v>0</v>
      </c>
    </row>
    <row r="99" spans="1:8" ht="15.75" x14ac:dyDescent="0.25">
      <c r="A99" s="164"/>
      <c r="B99" s="165">
        <f>DATE(21,8,1)</f>
        <v>7884</v>
      </c>
      <c r="C99" s="226">
        <v>0</v>
      </c>
      <c r="D99" s="226">
        <v>0</v>
      </c>
      <c r="E99" s="226">
        <v>0</v>
      </c>
      <c r="F99" s="166">
        <v>0</v>
      </c>
      <c r="G99" s="241">
        <v>0</v>
      </c>
      <c r="H99" s="242">
        <v>0</v>
      </c>
    </row>
    <row r="100" spans="1:8" ht="15.75" x14ac:dyDescent="0.25">
      <c r="A100" s="164"/>
      <c r="B100" s="165">
        <f>DATE(21,9,1)</f>
        <v>7915</v>
      </c>
      <c r="C100" s="226">
        <v>0</v>
      </c>
      <c r="D100" s="226">
        <v>0</v>
      </c>
      <c r="E100" s="226">
        <v>0</v>
      </c>
      <c r="F100" s="166">
        <v>0</v>
      </c>
      <c r="G100" s="241">
        <v>0</v>
      </c>
      <c r="H100" s="242">
        <v>0</v>
      </c>
    </row>
    <row r="101" spans="1:8" ht="15.75" x14ac:dyDescent="0.25">
      <c r="A101" s="164"/>
      <c r="B101" s="165">
        <f>DATE(21,10,1)</f>
        <v>7945</v>
      </c>
      <c r="C101" s="226">
        <v>0</v>
      </c>
      <c r="D101" s="226">
        <v>0</v>
      </c>
      <c r="E101" s="226">
        <v>0</v>
      </c>
      <c r="F101" s="166">
        <v>0</v>
      </c>
      <c r="G101" s="241">
        <v>0</v>
      </c>
      <c r="H101" s="242">
        <v>0</v>
      </c>
    </row>
    <row r="102" spans="1:8" ht="15.75" x14ac:dyDescent="0.25">
      <c r="A102" s="164"/>
      <c r="B102" s="165">
        <f>DATE(21,11,1)</f>
        <v>7976</v>
      </c>
      <c r="C102" s="226">
        <v>0</v>
      </c>
      <c r="D102" s="226">
        <v>0</v>
      </c>
      <c r="E102" s="226">
        <v>0</v>
      </c>
      <c r="F102" s="166">
        <v>0</v>
      </c>
      <c r="G102" s="241">
        <v>0</v>
      </c>
      <c r="H102" s="242">
        <v>0</v>
      </c>
    </row>
    <row r="103" spans="1:8" ht="15.75" x14ac:dyDescent="0.25">
      <c r="A103" s="164"/>
      <c r="B103" s="165">
        <f>DATE(21,12,1)</f>
        <v>8006</v>
      </c>
      <c r="C103" s="226">
        <v>0</v>
      </c>
      <c r="D103" s="226">
        <v>0</v>
      </c>
      <c r="E103" s="226">
        <v>0</v>
      </c>
      <c r="F103" s="166">
        <v>0</v>
      </c>
      <c r="G103" s="241">
        <v>0</v>
      </c>
      <c r="H103" s="242">
        <v>0</v>
      </c>
    </row>
    <row r="104" spans="1:8" ht="15.75" x14ac:dyDescent="0.25">
      <c r="A104" s="164"/>
      <c r="B104" s="165">
        <f>DATE(22,1,1)</f>
        <v>8037</v>
      </c>
      <c r="C104" s="226">
        <v>0</v>
      </c>
      <c r="D104" s="226">
        <v>0</v>
      </c>
      <c r="E104" s="226">
        <v>0</v>
      </c>
      <c r="F104" s="166">
        <v>0</v>
      </c>
      <c r="G104" s="241">
        <v>0</v>
      </c>
      <c r="H104" s="242">
        <v>0</v>
      </c>
    </row>
    <row r="105" spans="1:8" ht="15.75" x14ac:dyDescent="0.25">
      <c r="A105" s="164"/>
      <c r="B105" s="165">
        <f>DATE(22,2,1)</f>
        <v>8068</v>
      </c>
      <c r="C105" s="226">
        <v>0</v>
      </c>
      <c r="D105" s="226">
        <v>0</v>
      </c>
      <c r="E105" s="226">
        <v>0</v>
      </c>
      <c r="F105" s="166">
        <v>0</v>
      </c>
      <c r="G105" s="241">
        <v>0</v>
      </c>
      <c r="H105" s="242">
        <v>0</v>
      </c>
    </row>
    <row r="106" spans="1:8" ht="16.5" thickBot="1" x14ac:dyDescent="0.3">
      <c r="A106" s="164"/>
      <c r="B106" s="165"/>
      <c r="C106" s="226"/>
      <c r="D106" s="226"/>
      <c r="E106" s="226"/>
      <c r="F106" s="166"/>
      <c r="G106" s="241"/>
      <c r="H106" s="242"/>
    </row>
    <row r="107" spans="1:8" ht="17.25" thickTop="1" thickBot="1" x14ac:dyDescent="0.3">
      <c r="A107" s="174" t="s">
        <v>14</v>
      </c>
      <c r="B107" s="181"/>
      <c r="C107" s="228">
        <f>SUM(C98:C106)</f>
        <v>0</v>
      </c>
      <c r="D107" s="228">
        <f>SUM(D98:D106)</f>
        <v>0</v>
      </c>
      <c r="E107" s="228">
        <f>SUM(E98:E106)</f>
        <v>0</v>
      </c>
      <c r="F107" s="176">
        <v>0</v>
      </c>
      <c r="G107" s="245">
        <v>0</v>
      </c>
      <c r="H107" s="246">
        <v>0</v>
      </c>
    </row>
    <row r="108" spans="1:8" ht="15.75" thickTop="1" x14ac:dyDescent="0.2">
      <c r="A108" s="171"/>
      <c r="B108" s="172"/>
      <c r="C108" s="227"/>
      <c r="D108" s="227"/>
      <c r="E108" s="227"/>
      <c r="F108" s="173"/>
      <c r="G108" s="243"/>
      <c r="H108" s="244"/>
    </row>
    <row r="109" spans="1:8" ht="15.75" x14ac:dyDescent="0.25">
      <c r="A109" s="164" t="s">
        <v>54</v>
      </c>
      <c r="B109" s="165">
        <f>DATE(21,7,1)</f>
        <v>7853</v>
      </c>
      <c r="C109" s="226">
        <v>0</v>
      </c>
      <c r="D109" s="226">
        <v>0</v>
      </c>
      <c r="E109" s="226">
        <v>0</v>
      </c>
      <c r="F109" s="166">
        <v>0</v>
      </c>
      <c r="G109" s="241">
        <v>0</v>
      </c>
      <c r="H109" s="242">
        <v>0</v>
      </c>
    </row>
    <row r="110" spans="1:8" ht="15.75" x14ac:dyDescent="0.25">
      <c r="A110" s="164"/>
      <c r="B110" s="165">
        <f>DATE(21,8,1)</f>
        <v>7884</v>
      </c>
      <c r="C110" s="226">
        <v>0</v>
      </c>
      <c r="D110" s="226">
        <v>0</v>
      </c>
      <c r="E110" s="226">
        <v>0</v>
      </c>
      <c r="F110" s="166">
        <v>0</v>
      </c>
      <c r="G110" s="241">
        <v>0</v>
      </c>
      <c r="H110" s="242">
        <v>0</v>
      </c>
    </row>
    <row r="111" spans="1:8" ht="15.75" x14ac:dyDescent="0.25">
      <c r="A111" s="164"/>
      <c r="B111" s="165">
        <f>DATE(21,9,1)</f>
        <v>7915</v>
      </c>
      <c r="C111" s="226">
        <v>0</v>
      </c>
      <c r="D111" s="226">
        <v>0</v>
      </c>
      <c r="E111" s="226">
        <v>0</v>
      </c>
      <c r="F111" s="166">
        <v>0</v>
      </c>
      <c r="G111" s="241">
        <v>0</v>
      </c>
      <c r="H111" s="242">
        <v>0</v>
      </c>
    </row>
    <row r="112" spans="1:8" ht="15.75" x14ac:dyDescent="0.25">
      <c r="A112" s="164"/>
      <c r="B112" s="165">
        <f>DATE(21,10,1)</f>
        <v>7945</v>
      </c>
      <c r="C112" s="226">
        <v>0</v>
      </c>
      <c r="D112" s="226">
        <v>0</v>
      </c>
      <c r="E112" s="226">
        <v>0</v>
      </c>
      <c r="F112" s="166">
        <v>0</v>
      </c>
      <c r="G112" s="241">
        <v>0</v>
      </c>
      <c r="H112" s="242">
        <v>0</v>
      </c>
    </row>
    <row r="113" spans="1:8" ht="15.75" x14ac:dyDescent="0.25">
      <c r="A113" s="164"/>
      <c r="B113" s="165">
        <f>DATE(21,11,1)</f>
        <v>7976</v>
      </c>
      <c r="C113" s="226">
        <v>0</v>
      </c>
      <c r="D113" s="226">
        <v>0</v>
      </c>
      <c r="E113" s="226">
        <v>0</v>
      </c>
      <c r="F113" s="166">
        <v>0</v>
      </c>
      <c r="G113" s="241">
        <v>0</v>
      </c>
      <c r="H113" s="242">
        <v>0</v>
      </c>
    </row>
    <row r="114" spans="1:8" ht="15.75" x14ac:dyDescent="0.25">
      <c r="A114" s="164"/>
      <c r="B114" s="165">
        <f>DATE(21,12,1)</f>
        <v>8006</v>
      </c>
      <c r="C114" s="226">
        <v>0</v>
      </c>
      <c r="D114" s="226">
        <v>0</v>
      </c>
      <c r="E114" s="226">
        <v>0</v>
      </c>
      <c r="F114" s="166">
        <v>0</v>
      </c>
      <c r="G114" s="241">
        <v>0</v>
      </c>
      <c r="H114" s="242">
        <v>0</v>
      </c>
    </row>
    <row r="115" spans="1:8" ht="15.75" x14ac:dyDescent="0.25">
      <c r="A115" s="164"/>
      <c r="B115" s="165">
        <f>DATE(22,1,1)</f>
        <v>8037</v>
      </c>
      <c r="C115" s="226">
        <v>0</v>
      </c>
      <c r="D115" s="226">
        <v>0</v>
      </c>
      <c r="E115" s="226">
        <v>0</v>
      </c>
      <c r="F115" s="166">
        <v>0</v>
      </c>
      <c r="G115" s="241">
        <v>0</v>
      </c>
      <c r="H115" s="242">
        <v>0</v>
      </c>
    </row>
    <row r="116" spans="1:8" ht="15.75" x14ac:dyDescent="0.25">
      <c r="A116" s="164"/>
      <c r="B116" s="165">
        <f>DATE(22,2,1)</f>
        <v>8068</v>
      </c>
      <c r="C116" s="226">
        <v>0</v>
      </c>
      <c r="D116" s="226">
        <v>0</v>
      </c>
      <c r="E116" s="226">
        <v>0</v>
      </c>
      <c r="F116" s="166">
        <v>0</v>
      </c>
      <c r="G116" s="241">
        <v>0</v>
      </c>
      <c r="H116" s="242">
        <v>0</v>
      </c>
    </row>
    <row r="117" spans="1:8" ht="15.75" thickBot="1" x14ac:dyDescent="0.25">
      <c r="A117" s="167"/>
      <c r="B117" s="168"/>
      <c r="C117" s="226"/>
      <c r="D117" s="226"/>
      <c r="E117" s="226"/>
      <c r="F117" s="166"/>
      <c r="G117" s="241"/>
      <c r="H117" s="242"/>
    </row>
    <row r="118" spans="1:8" ht="17.25" thickTop="1" thickBot="1" x14ac:dyDescent="0.3">
      <c r="A118" s="174" t="s">
        <v>14</v>
      </c>
      <c r="B118" s="175"/>
      <c r="C118" s="228">
        <f>SUM(C109:C117)</f>
        <v>0</v>
      </c>
      <c r="D118" s="228">
        <f>SUM(D109:D117)</f>
        <v>0</v>
      </c>
      <c r="E118" s="228">
        <f>SUM(E109:E117)</f>
        <v>0</v>
      </c>
      <c r="F118" s="176">
        <v>0</v>
      </c>
      <c r="G118" s="245">
        <v>0</v>
      </c>
      <c r="H118" s="246">
        <v>0</v>
      </c>
    </row>
    <row r="119" spans="1:8" ht="15.75" thickTop="1" x14ac:dyDescent="0.2">
      <c r="A119" s="167"/>
      <c r="B119" s="168"/>
      <c r="C119" s="226"/>
      <c r="D119" s="226"/>
      <c r="E119" s="226"/>
      <c r="F119" s="166"/>
      <c r="G119" s="241"/>
      <c r="H119" s="242"/>
    </row>
    <row r="120" spans="1:8" ht="15.75" x14ac:dyDescent="0.25">
      <c r="A120" s="164" t="s">
        <v>55</v>
      </c>
      <c r="B120" s="165">
        <f>DATE(21,7,1)</f>
        <v>7853</v>
      </c>
      <c r="C120" s="226">
        <v>0</v>
      </c>
      <c r="D120" s="226">
        <v>0</v>
      </c>
      <c r="E120" s="226">
        <v>0</v>
      </c>
      <c r="F120" s="166">
        <v>0</v>
      </c>
      <c r="G120" s="241">
        <v>0</v>
      </c>
      <c r="H120" s="242">
        <v>0</v>
      </c>
    </row>
    <row r="121" spans="1:8" ht="15.75" x14ac:dyDescent="0.25">
      <c r="A121" s="164"/>
      <c r="B121" s="165">
        <f>DATE(21,8,1)</f>
        <v>7884</v>
      </c>
      <c r="C121" s="226">
        <v>0</v>
      </c>
      <c r="D121" s="226">
        <v>0</v>
      </c>
      <c r="E121" s="226">
        <v>0</v>
      </c>
      <c r="F121" s="166">
        <v>0</v>
      </c>
      <c r="G121" s="241">
        <v>0</v>
      </c>
      <c r="H121" s="242">
        <v>0</v>
      </c>
    </row>
    <row r="122" spans="1:8" ht="15.75" x14ac:dyDescent="0.25">
      <c r="A122" s="164"/>
      <c r="B122" s="165">
        <f>DATE(21,9,1)</f>
        <v>7915</v>
      </c>
      <c r="C122" s="226">
        <v>0</v>
      </c>
      <c r="D122" s="226">
        <v>0</v>
      </c>
      <c r="E122" s="226">
        <v>0</v>
      </c>
      <c r="F122" s="166">
        <v>0</v>
      </c>
      <c r="G122" s="241">
        <v>0</v>
      </c>
      <c r="H122" s="242">
        <v>0</v>
      </c>
    </row>
    <row r="123" spans="1:8" ht="15.75" x14ac:dyDescent="0.25">
      <c r="A123" s="164"/>
      <c r="B123" s="165">
        <f>DATE(21,10,1)</f>
        <v>7945</v>
      </c>
      <c r="C123" s="226">
        <v>0</v>
      </c>
      <c r="D123" s="226">
        <v>0</v>
      </c>
      <c r="E123" s="226">
        <v>0</v>
      </c>
      <c r="F123" s="166">
        <v>0</v>
      </c>
      <c r="G123" s="241">
        <v>0</v>
      </c>
      <c r="H123" s="242">
        <v>0</v>
      </c>
    </row>
    <row r="124" spans="1:8" ht="15.75" x14ac:dyDescent="0.25">
      <c r="A124" s="164"/>
      <c r="B124" s="165">
        <f>DATE(21,11,1)</f>
        <v>7976</v>
      </c>
      <c r="C124" s="226">
        <v>0</v>
      </c>
      <c r="D124" s="226">
        <v>0</v>
      </c>
      <c r="E124" s="226">
        <v>0</v>
      </c>
      <c r="F124" s="166">
        <v>0</v>
      </c>
      <c r="G124" s="241">
        <v>0</v>
      </c>
      <c r="H124" s="242">
        <v>0</v>
      </c>
    </row>
    <row r="125" spans="1:8" ht="15.75" x14ac:dyDescent="0.25">
      <c r="A125" s="164"/>
      <c r="B125" s="165">
        <f>DATE(21,12,1)</f>
        <v>8006</v>
      </c>
      <c r="C125" s="226">
        <v>0</v>
      </c>
      <c r="D125" s="226">
        <v>0</v>
      </c>
      <c r="E125" s="226">
        <v>0</v>
      </c>
      <c r="F125" s="166">
        <v>0</v>
      </c>
      <c r="G125" s="241">
        <v>0</v>
      </c>
      <c r="H125" s="242">
        <v>0</v>
      </c>
    </row>
    <row r="126" spans="1:8" ht="15.75" x14ac:dyDescent="0.25">
      <c r="A126" s="164"/>
      <c r="B126" s="165">
        <f>DATE(22,1,1)</f>
        <v>8037</v>
      </c>
      <c r="C126" s="226">
        <v>0</v>
      </c>
      <c r="D126" s="226">
        <v>0</v>
      </c>
      <c r="E126" s="226">
        <v>0</v>
      </c>
      <c r="F126" s="166">
        <v>0</v>
      </c>
      <c r="G126" s="241">
        <v>0</v>
      </c>
      <c r="H126" s="242">
        <v>0</v>
      </c>
    </row>
    <row r="127" spans="1:8" ht="15.75" x14ac:dyDescent="0.25">
      <c r="A127" s="164"/>
      <c r="B127" s="165">
        <f>DATE(22,2,1)</f>
        <v>8068</v>
      </c>
      <c r="C127" s="226">
        <v>0</v>
      </c>
      <c r="D127" s="226">
        <v>0</v>
      </c>
      <c r="E127" s="226">
        <v>0</v>
      </c>
      <c r="F127" s="166">
        <v>0</v>
      </c>
      <c r="G127" s="241">
        <v>0</v>
      </c>
      <c r="H127" s="242">
        <v>0</v>
      </c>
    </row>
    <row r="128" spans="1:8" ht="15.75" thickBot="1" x14ac:dyDescent="0.25">
      <c r="A128" s="167"/>
      <c r="B128" s="168"/>
      <c r="C128" s="226"/>
      <c r="D128" s="226"/>
      <c r="E128" s="226"/>
      <c r="F128" s="166"/>
      <c r="G128" s="241"/>
      <c r="H128" s="242"/>
    </row>
    <row r="129" spans="1:8" ht="17.25" thickTop="1" thickBot="1" x14ac:dyDescent="0.3">
      <c r="A129" s="182" t="s">
        <v>14</v>
      </c>
      <c r="B129" s="183"/>
      <c r="C129" s="230">
        <f>SUM(C120:C128)</f>
        <v>0</v>
      </c>
      <c r="D129" s="230">
        <f>SUM(D120:D128)</f>
        <v>0</v>
      </c>
      <c r="E129" s="230">
        <f>SUM(E120:E128)</f>
        <v>0</v>
      </c>
      <c r="F129" s="176">
        <v>0</v>
      </c>
      <c r="G129" s="245">
        <v>0</v>
      </c>
      <c r="H129" s="246">
        <v>0</v>
      </c>
    </row>
    <row r="130" spans="1:8" ht="15.75" thickTop="1" x14ac:dyDescent="0.2">
      <c r="A130" s="167"/>
      <c r="B130" s="168"/>
      <c r="C130" s="226"/>
      <c r="D130" s="226"/>
      <c r="E130" s="226"/>
      <c r="F130" s="166"/>
      <c r="G130" s="241"/>
      <c r="H130" s="242"/>
    </row>
    <row r="131" spans="1:8" ht="15.75" x14ac:dyDescent="0.25">
      <c r="A131" s="164" t="s">
        <v>37</v>
      </c>
      <c r="B131" s="165">
        <f>DATE(21,7,1)</f>
        <v>7853</v>
      </c>
      <c r="C131" s="226">
        <v>4521310.28</v>
      </c>
      <c r="D131" s="226">
        <v>209181.95</v>
      </c>
      <c r="E131" s="226">
        <v>0</v>
      </c>
      <c r="F131" s="166">
        <v>1</v>
      </c>
      <c r="G131" s="241">
        <f t="shared" ref="G131:G138" si="0">+D131/C131</f>
        <v>4.6265780724078068E-2</v>
      </c>
      <c r="H131" s="289">
        <f t="shared" ref="H131:H138" si="1">1-G131</f>
        <v>0.95373421927592195</v>
      </c>
    </row>
    <row r="132" spans="1:8" ht="15.75" x14ac:dyDescent="0.25">
      <c r="A132" s="164"/>
      <c r="B132" s="165">
        <f>DATE(21,8,1)</f>
        <v>7884</v>
      </c>
      <c r="C132" s="226">
        <v>3704866.99</v>
      </c>
      <c r="D132" s="226">
        <v>126701.54</v>
      </c>
      <c r="E132" s="226">
        <v>0</v>
      </c>
      <c r="F132" s="166">
        <v>1</v>
      </c>
      <c r="G132" s="241">
        <f t="shared" si="0"/>
        <v>3.4198674430684486E-2</v>
      </c>
      <c r="H132" s="289">
        <f t="shared" si="1"/>
        <v>0.96580132556931553</v>
      </c>
    </row>
    <row r="133" spans="1:8" ht="15.75" x14ac:dyDescent="0.25">
      <c r="A133" s="164"/>
      <c r="B133" s="165">
        <f>DATE(21,9,1)</f>
        <v>7915</v>
      </c>
      <c r="C133" s="226">
        <v>3225792.95</v>
      </c>
      <c r="D133" s="226">
        <v>145306.89000000001</v>
      </c>
      <c r="E133" s="226">
        <v>0</v>
      </c>
      <c r="F133" s="166">
        <v>1</v>
      </c>
      <c r="G133" s="241">
        <f t="shared" si="0"/>
        <v>4.5045324437205436E-2</v>
      </c>
      <c r="H133" s="289">
        <f t="shared" si="1"/>
        <v>0.95495467556279456</v>
      </c>
    </row>
    <row r="134" spans="1:8" ht="15.75" x14ac:dyDescent="0.25">
      <c r="A134" s="164"/>
      <c r="B134" s="165">
        <f>DATE(21,10,1)</f>
        <v>7945</v>
      </c>
      <c r="C134" s="226">
        <v>4369745.4400000004</v>
      </c>
      <c r="D134" s="226">
        <v>179665.17</v>
      </c>
      <c r="E134" s="226">
        <v>0</v>
      </c>
      <c r="F134" s="166">
        <v>1</v>
      </c>
      <c r="G134" s="241">
        <f t="shared" si="0"/>
        <v>4.1115706273269777E-2</v>
      </c>
      <c r="H134" s="289">
        <f t="shared" si="1"/>
        <v>0.95888429372673023</v>
      </c>
    </row>
    <row r="135" spans="1:8" ht="15.75" x14ac:dyDescent="0.25">
      <c r="A135" s="164"/>
      <c r="B135" s="165">
        <f>DATE(21,11,1)</f>
        <v>7976</v>
      </c>
      <c r="C135" s="226">
        <v>5826637.7300000004</v>
      </c>
      <c r="D135" s="226">
        <v>200635.43</v>
      </c>
      <c r="E135" s="226">
        <v>0</v>
      </c>
      <c r="F135" s="166">
        <v>1</v>
      </c>
      <c r="G135" s="241">
        <f t="shared" si="0"/>
        <v>3.4434169292347612E-2</v>
      </c>
      <c r="H135" s="289">
        <f t="shared" si="1"/>
        <v>0.96556583070765234</v>
      </c>
    </row>
    <row r="136" spans="1:8" ht="15.75" x14ac:dyDescent="0.25">
      <c r="A136" s="164"/>
      <c r="B136" s="165">
        <f>DATE(21,12,1)</f>
        <v>8006</v>
      </c>
      <c r="C136" s="226">
        <v>6300712.0499999998</v>
      </c>
      <c r="D136" s="226">
        <v>258639.24</v>
      </c>
      <c r="E136" s="226">
        <v>0</v>
      </c>
      <c r="F136" s="166">
        <v>1</v>
      </c>
      <c r="G136" s="241">
        <f t="shared" si="0"/>
        <v>4.104920808117235E-2</v>
      </c>
      <c r="H136" s="289">
        <f t="shared" si="1"/>
        <v>0.95895079191882759</v>
      </c>
    </row>
    <row r="137" spans="1:8" ht="15.75" x14ac:dyDescent="0.25">
      <c r="A137" s="164"/>
      <c r="B137" s="165">
        <f>DATE(22,1,1)</f>
        <v>8037</v>
      </c>
      <c r="C137" s="226">
        <v>6265473.4800000004</v>
      </c>
      <c r="D137" s="226">
        <v>255321.86</v>
      </c>
      <c r="E137" s="226">
        <v>13801.5</v>
      </c>
      <c r="F137" s="166">
        <f>+(D137-E137)/E137</f>
        <v>17.499573234793317</v>
      </c>
      <c r="G137" s="241">
        <f t="shared" si="0"/>
        <v>4.0750609002657527E-2</v>
      </c>
      <c r="H137" s="289">
        <f t="shared" si="1"/>
        <v>0.95924939099734252</v>
      </c>
    </row>
    <row r="138" spans="1:8" ht="15.75" x14ac:dyDescent="0.25">
      <c r="A138" s="164"/>
      <c r="B138" s="165">
        <f>DATE(22,2,1)</f>
        <v>8068</v>
      </c>
      <c r="C138" s="226">
        <v>5041575</v>
      </c>
      <c r="D138" s="226">
        <v>283659.46000000002</v>
      </c>
      <c r="E138" s="226">
        <v>31538.07</v>
      </c>
      <c r="F138" s="166">
        <f>+(D138-E138)/E138</f>
        <v>7.9941920986287371</v>
      </c>
      <c r="G138" s="241">
        <f t="shared" si="0"/>
        <v>5.6264056371272873E-2</v>
      </c>
      <c r="H138" s="289">
        <f t="shared" si="1"/>
        <v>0.94373594362872715</v>
      </c>
    </row>
    <row r="139" spans="1:8" ht="15.75" thickBot="1" x14ac:dyDescent="0.25">
      <c r="A139" s="167"/>
      <c r="B139" s="168"/>
      <c r="C139" s="226"/>
      <c r="D139" s="226"/>
      <c r="E139" s="226"/>
      <c r="F139" s="166"/>
      <c r="G139" s="241"/>
      <c r="H139" s="242"/>
    </row>
    <row r="140" spans="1:8" ht="17.25" thickTop="1" thickBot="1" x14ac:dyDescent="0.3">
      <c r="A140" s="174" t="s">
        <v>14</v>
      </c>
      <c r="B140" s="175"/>
      <c r="C140" s="228">
        <f>SUM(C131:C139)</f>
        <v>39256113.920000002</v>
      </c>
      <c r="D140" s="228">
        <f>SUM(D131:D139)</f>
        <v>1659111.54</v>
      </c>
      <c r="E140" s="228">
        <f>SUM(E131:E139)</f>
        <v>45339.57</v>
      </c>
      <c r="F140" s="176">
        <v>1</v>
      </c>
      <c r="G140" s="245">
        <f>+D140/C140</f>
        <v>4.2263774335409302E-2</v>
      </c>
      <c r="H140" s="246">
        <f>1-G140</f>
        <v>0.95773622566459071</v>
      </c>
    </row>
    <row r="141" spans="1:8" ht="15.75" thickTop="1" x14ac:dyDescent="0.2">
      <c r="A141" s="167"/>
      <c r="B141" s="168"/>
      <c r="C141" s="226"/>
      <c r="D141" s="226"/>
      <c r="E141" s="226"/>
      <c r="F141" s="166"/>
      <c r="G141" s="241"/>
      <c r="H141" s="242"/>
    </row>
    <row r="142" spans="1:8" ht="15.75" x14ac:dyDescent="0.25">
      <c r="A142" s="164" t="s">
        <v>58</v>
      </c>
      <c r="B142" s="165">
        <f>DATE(21,7,1)</f>
        <v>7853</v>
      </c>
      <c r="C142" s="226">
        <v>0</v>
      </c>
      <c r="D142" s="226">
        <v>0</v>
      </c>
      <c r="E142" s="226">
        <v>0</v>
      </c>
      <c r="F142" s="166">
        <v>0</v>
      </c>
      <c r="G142" s="241">
        <v>0</v>
      </c>
      <c r="H142" s="242">
        <v>0</v>
      </c>
    </row>
    <row r="143" spans="1:8" ht="15.75" x14ac:dyDescent="0.25">
      <c r="A143" s="164"/>
      <c r="B143" s="165">
        <f>DATE(21,8,1)</f>
        <v>7884</v>
      </c>
      <c r="C143" s="226">
        <v>0</v>
      </c>
      <c r="D143" s="226">
        <v>0</v>
      </c>
      <c r="E143" s="226">
        <v>0</v>
      </c>
      <c r="F143" s="166">
        <v>0</v>
      </c>
      <c r="G143" s="241">
        <v>0</v>
      </c>
      <c r="H143" s="242">
        <v>0</v>
      </c>
    </row>
    <row r="144" spans="1:8" ht="15.75" x14ac:dyDescent="0.25">
      <c r="A144" s="164"/>
      <c r="B144" s="165">
        <f>DATE(21,9,1)</f>
        <v>7915</v>
      </c>
      <c r="C144" s="226">
        <v>0</v>
      </c>
      <c r="D144" s="226">
        <v>0</v>
      </c>
      <c r="E144" s="226">
        <v>0</v>
      </c>
      <c r="F144" s="166">
        <v>0</v>
      </c>
      <c r="G144" s="241">
        <v>0</v>
      </c>
      <c r="H144" s="242">
        <v>0</v>
      </c>
    </row>
    <row r="145" spans="1:8" ht="15.75" x14ac:dyDescent="0.25">
      <c r="A145" s="164"/>
      <c r="B145" s="165">
        <f>DATE(21,10,1)</f>
        <v>7945</v>
      </c>
      <c r="C145" s="226">
        <v>0</v>
      </c>
      <c r="D145" s="226">
        <v>0</v>
      </c>
      <c r="E145" s="226">
        <v>0</v>
      </c>
      <c r="F145" s="166">
        <v>0</v>
      </c>
      <c r="G145" s="241">
        <v>0</v>
      </c>
      <c r="H145" s="242">
        <v>0</v>
      </c>
    </row>
    <row r="146" spans="1:8" ht="15.75" x14ac:dyDescent="0.25">
      <c r="A146" s="164"/>
      <c r="B146" s="165">
        <f>DATE(21,11,1)</f>
        <v>7976</v>
      </c>
      <c r="C146" s="226">
        <v>0</v>
      </c>
      <c r="D146" s="226">
        <v>0</v>
      </c>
      <c r="E146" s="226">
        <v>0</v>
      </c>
      <c r="F146" s="166">
        <v>0</v>
      </c>
      <c r="G146" s="241">
        <v>0</v>
      </c>
      <c r="H146" s="242">
        <v>0</v>
      </c>
    </row>
    <row r="147" spans="1:8" ht="15.75" x14ac:dyDescent="0.25">
      <c r="A147" s="164"/>
      <c r="B147" s="165">
        <f>DATE(21,12,1)</f>
        <v>8006</v>
      </c>
      <c r="C147" s="226">
        <v>0</v>
      </c>
      <c r="D147" s="226">
        <v>0</v>
      </c>
      <c r="E147" s="226">
        <v>0</v>
      </c>
      <c r="F147" s="166">
        <v>0</v>
      </c>
      <c r="G147" s="241">
        <v>0</v>
      </c>
      <c r="H147" s="242">
        <v>0</v>
      </c>
    </row>
    <row r="148" spans="1:8" ht="15.75" x14ac:dyDescent="0.25">
      <c r="A148" s="164"/>
      <c r="B148" s="165">
        <f>DATE(22,1,1)</f>
        <v>8037</v>
      </c>
      <c r="C148" s="226">
        <v>0</v>
      </c>
      <c r="D148" s="226">
        <v>0</v>
      </c>
      <c r="E148" s="226">
        <v>0</v>
      </c>
      <c r="F148" s="166">
        <v>0</v>
      </c>
      <c r="G148" s="241">
        <v>0</v>
      </c>
      <c r="H148" s="242">
        <v>0</v>
      </c>
    </row>
    <row r="149" spans="1:8" ht="15.75" x14ac:dyDescent="0.25">
      <c r="A149" s="164"/>
      <c r="B149" s="165">
        <f>DATE(22,2,1)</f>
        <v>8068</v>
      </c>
      <c r="C149" s="226">
        <v>0</v>
      </c>
      <c r="D149" s="226">
        <v>0</v>
      </c>
      <c r="E149" s="226">
        <v>0</v>
      </c>
      <c r="F149" s="166">
        <v>0</v>
      </c>
      <c r="G149" s="241">
        <v>0</v>
      </c>
      <c r="H149" s="242">
        <v>0</v>
      </c>
    </row>
    <row r="150" spans="1:8" ht="15.75" thickBot="1" x14ac:dyDescent="0.25">
      <c r="A150" s="167"/>
      <c r="B150" s="168"/>
      <c r="C150" s="226"/>
      <c r="D150" s="226"/>
      <c r="E150" s="226"/>
      <c r="F150" s="166"/>
      <c r="G150" s="241"/>
      <c r="H150" s="242"/>
    </row>
    <row r="151" spans="1:8" ht="17.25" thickTop="1" thickBot="1" x14ac:dyDescent="0.3">
      <c r="A151" s="169" t="s">
        <v>14</v>
      </c>
      <c r="B151" s="155"/>
      <c r="C151" s="223">
        <f>SUM(C142:C150)</f>
        <v>0</v>
      </c>
      <c r="D151" s="223">
        <f>SUM(D142:D150)</f>
        <v>0</v>
      </c>
      <c r="E151" s="223">
        <f>SUM(E142:E150)</f>
        <v>0</v>
      </c>
      <c r="F151" s="176">
        <v>0</v>
      </c>
      <c r="G151" s="245">
        <v>0</v>
      </c>
      <c r="H151" s="246">
        <v>0</v>
      </c>
    </row>
    <row r="152" spans="1:8" ht="16.5" thickTop="1" thickBot="1" x14ac:dyDescent="0.25">
      <c r="A152" s="171"/>
      <c r="B152" s="172"/>
      <c r="C152" s="227"/>
      <c r="D152" s="227"/>
      <c r="E152" s="227"/>
      <c r="F152" s="173"/>
      <c r="G152" s="243"/>
      <c r="H152" s="244"/>
    </row>
    <row r="153" spans="1:8" ht="17.25" thickTop="1" thickBot="1" x14ac:dyDescent="0.3">
      <c r="A153" s="184" t="s">
        <v>38</v>
      </c>
      <c r="B153" s="155"/>
      <c r="C153" s="223">
        <f>C151+C140+C107+C85+C63+C41+C19+C52+C129+C30+C96+C118+C74</f>
        <v>48556440.200000003</v>
      </c>
      <c r="D153" s="223">
        <f>D151+D140+D107+D85+D63+D41+D19+D52+D129+D30+D96+D118+D74</f>
        <v>2054623.38</v>
      </c>
      <c r="E153" s="223">
        <f>E151+E140+E107+E85+E63+E41+E19+E52+E129+E30+E96+E118+E74</f>
        <v>741437.65</v>
      </c>
      <c r="F153" s="176">
        <f>+(D153-E153)/E153</f>
        <v>1.771134403546947</v>
      </c>
      <c r="G153" s="236">
        <f>D153/C153</f>
        <v>4.2314127055796805E-2</v>
      </c>
      <c r="H153" s="237">
        <f>1-G153</f>
        <v>0.95768587294420315</v>
      </c>
    </row>
    <row r="154" spans="1:8" ht="17.25" thickTop="1" thickBot="1" x14ac:dyDescent="0.3">
      <c r="A154" s="184"/>
      <c r="B154" s="155"/>
      <c r="C154" s="223"/>
      <c r="D154" s="223"/>
      <c r="E154" s="223"/>
      <c r="F154" s="170"/>
      <c r="G154" s="236"/>
      <c r="H154" s="237"/>
    </row>
    <row r="155" spans="1:8" ht="17.25" thickTop="1" thickBot="1" x14ac:dyDescent="0.3">
      <c r="A155" s="184" t="s">
        <v>39</v>
      </c>
      <c r="B155" s="155"/>
      <c r="C155" s="223">
        <f>SUM(C17+C28+C39+C50+C61+C72+C83+C94+C105+C116+C127+C138+C149)</f>
        <v>7791618.4399999995</v>
      </c>
      <c r="D155" s="223">
        <f>SUM(D17+D28+D39+D50+D61+D72+D83+D94+D105+D116+D127+D138+D149)</f>
        <v>418314.81000000006</v>
      </c>
      <c r="E155" s="223">
        <f>SUM(E17+E28+E39+E50+E61+E72+E83+E94+E105+E116+E127+E138+E149)</f>
        <v>126188.07</v>
      </c>
      <c r="F155" s="176">
        <f>+(D155-E155)/E155</f>
        <v>2.3150107613184039</v>
      </c>
      <c r="G155" s="236">
        <f>D155/C155</f>
        <v>5.3687794547598519E-2</v>
      </c>
      <c r="H155" s="246">
        <f>1-G155</f>
        <v>0.94631220545240147</v>
      </c>
    </row>
    <row r="156" spans="1:8" ht="16.5" thickTop="1" x14ac:dyDescent="0.25">
      <c r="A156" s="185"/>
      <c r="B156" s="186"/>
      <c r="C156" s="231"/>
      <c r="D156" s="231"/>
      <c r="E156" s="231"/>
      <c r="F156" s="187"/>
      <c r="G156" s="250"/>
      <c r="H156" s="250"/>
    </row>
    <row r="157" spans="1:8" ht="18.75" x14ac:dyDescent="0.3">
      <c r="A157" s="188" t="s">
        <v>49</v>
      </c>
      <c r="B157" s="189"/>
      <c r="C157" s="232"/>
      <c r="D157" s="232"/>
      <c r="E157" s="232"/>
      <c r="F157" s="190"/>
      <c r="G157" s="251"/>
      <c r="H157" s="251"/>
    </row>
    <row r="158" spans="1:8" ht="15.75" x14ac:dyDescent="0.25">
      <c r="A158" s="191"/>
      <c r="B158" s="189"/>
      <c r="C158" s="232"/>
      <c r="D158" s="232"/>
      <c r="E158" s="232"/>
      <c r="F158" s="190"/>
      <c r="G158" s="257"/>
      <c r="H158" s="257"/>
    </row>
  </sheetData>
  <printOptions horizontalCentered="1"/>
  <pageMargins left="0.7" right="0.45" top="0.25" bottom="0.25" header="0.3" footer="0.3"/>
  <pageSetup scale="65" orientation="landscape" r:id="rId1"/>
  <rowBreaks count="3" manualBreakCount="3">
    <brk id="52" max="16383" man="1"/>
    <brk id="96" max="16383" man="1"/>
    <brk id="14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59"/>
  <sheetViews>
    <sheetView showOutlineSymbols="0" zoomScaleNormal="100" workbookViewId="0">
      <selection activeCell="A6" sqref="A6"/>
    </sheetView>
  </sheetViews>
  <sheetFormatPr defaultColWidth="9.6640625" defaultRowHeight="15" x14ac:dyDescent="0.2"/>
  <cols>
    <col min="1" max="1" width="27.6640625" style="152" customWidth="1"/>
    <col min="2" max="2" width="9.6640625" style="152" customWidth="1"/>
    <col min="3" max="3" width="18.33203125" style="233" customWidth="1"/>
    <col min="4" max="4" width="16.44140625" style="233" customWidth="1"/>
    <col min="5" max="5" width="15.5546875" style="233" customWidth="1"/>
    <col min="6" max="6" width="9.6640625" style="152" customWidth="1"/>
    <col min="7" max="7" width="9.6640625" style="252" customWidth="1"/>
    <col min="8" max="8" width="10.88671875" style="252" customWidth="1"/>
    <col min="9" max="9" width="1.6640625" style="152" customWidth="1"/>
    <col min="10" max="16384" width="9.6640625" style="152"/>
  </cols>
  <sheetData>
    <row r="1" spans="1:9" ht="18" x14ac:dyDescent="0.25">
      <c r="A1" s="149" t="s">
        <v>0</v>
      </c>
      <c r="B1" s="150"/>
      <c r="C1" s="222"/>
      <c r="D1" s="222"/>
      <c r="E1" s="222"/>
      <c r="F1" s="150"/>
      <c r="G1" s="234"/>
      <c r="H1" s="234"/>
      <c r="I1" s="151"/>
    </row>
    <row r="2" spans="1:9" ht="18.75" x14ac:dyDescent="0.3">
      <c r="A2" s="153" t="s">
        <v>41</v>
      </c>
      <c r="B2" s="150"/>
      <c r="C2" s="222"/>
      <c r="D2" s="222"/>
      <c r="E2" s="222"/>
      <c r="F2" s="150"/>
      <c r="G2" s="234"/>
      <c r="H2" s="234"/>
      <c r="I2" s="151"/>
    </row>
    <row r="3" spans="1:9" ht="18" x14ac:dyDescent="0.25">
      <c r="A3" s="149" t="s">
        <v>42</v>
      </c>
      <c r="B3" s="150"/>
      <c r="C3" s="222"/>
      <c r="D3" s="222"/>
      <c r="E3" s="222"/>
      <c r="F3" s="150"/>
      <c r="G3" s="234"/>
      <c r="H3" s="234"/>
      <c r="I3" s="151"/>
    </row>
    <row r="4" spans="1:9" ht="18" x14ac:dyDescent="0.25">
      <c r="A4" s="285" t="s">
        <v>78</v>
      </c>
      <c r="B4" s="150"/>
      <c r="C4" s="222"/>
      <c r="D4" s="222"/>
      <c r="E4" s="222"/>
      <c r="F4" s="150"/>
      <c r="G4" s="234"/>
      <c r="H4" s="234"/>
      <c r="I4" s="151"/>
    </row>
    <row r="5" spans="1:9" x14ac:dyDescent="0.2">
      <c r="A5" s="286" t="s">
        <v>73</v>
      </c>
      <c r="B5" s="150"/>
      <c r="C5" s="222"/>
      <c r="D5" s="222"/>
      <c r="E5" s="222"/>
      <c r="F5" s="150"/>
      <c r="G5" s="234"/>
      <c r="H5" s="234"/>
      <c r="I5" s="151"/>
    </row>
    <row r="6" spans="1:9" ht="16.5" thickBot="1" x14ac:dyDescent="0.3">
      <c r="A6" s="150"/>
      <c r="B6" s="150"/>
      <c r="C6" s="222"/>
      <c r="D6" s="222"/>
      <c r="E6" s="222"/>
      <c r="F6" s="150"/>
      <c r="G6" s="235" t="s">
        <v>43</v>
      </c>
      <c r="H6" s="235"/>
      <c r="I6" s="151"/>
    </row>
    <row r="7" spans="1:9" ht="16.5" thickTop="1" x14ac:dyDescent="0.25">
      <c r="A7" s="154"/>
      <c r="B7" s="155" t="s">
        <v>2</v>
      </c>
      <c r="C7" s="223" t="s">
        <v>44</v>
      </c>
      <c r="D7" s="223" t="s">
        <v>31</v>
      </c>
      <c r="E7" s="223" t="s">
        <v>3</v>
      </c>
      <c r="F7" s="156"/>
      <c r="G7" s="236" t="s">
        <v>32</v>
      </c>
      <c r="H7" s="253" t="s">
        <v>32</v>
      </c>
      <c r="I7" s="157"/>
    </row>
    <row r="8" spans="1:9" ht="16.5" thickBot="1" x14ac:dyDescent="0.3">
      <c r="A8" s="158" t="s">
        <v>5</v>
      </c>
      <c r="B8" s="159" t="s">
        <v>6</v>
      </c>
      <c r="C8" s="224" t="s">
        <v>45</v>
      </c>
      <c r="D8" s="224" t="s">
        <v>46</v>
      </c>
      <c r="E8" s="224" t="s">
        <v>46</v>
      </c>
      <c r="F8" s="160" t="s">
        <v>8</v>
      </c>
      <c r="G8" s="238" t="s">
        <v>35</v>
      </c>
      <c r="H8" s="254" t="s">
        <v>47</v>
      </c>
      <c r="I8" s="157"/>
    </row>
    <row r="9" spans="1:9" ht="15.75" customHeight="1" thickTop="1" x14ac:dyDescent="0.25">
      <c r="A9" s="161"/>
      <c r="B9" s="162"/>
      <c r="C9" s="225"/>
      <c r="D9" s="225"/>
      <c r="E9" s="225"/>
      <c r="F9" s="163"/>
      <c r="G9" s="239"/>
      <c r="H9" s="240"/>
      <c r="I9" s="157"/>
    </row>
    <row r="10" spans="1:9" ht="15.75" x14ac:dyDescent="0.25">
      <c r="A10" s="164" t="s">
        <v>36</v>
      </c>
      <c r="B10" s="165">
        <f>DATE(21,7,1)</f>
        <v>7853</v>
      </c>
      <c r="C10" s="226">
        <v>137710679.78</v>
      </c>
      <c r="D10" s="226">
        <v>13537622.550000001</v>
      </c>
      <c r="E10" s="226">
        <v>11655862.98</v>
      </c>
      <c r="F10" s="166">
        <f t="shared" ref="F10:F17" si="0">(+D10-E10)/E10</f>
        <v>0.16144317870147099</v>
      </c>
      <c r="G10" s="241">
        <f t="shared" ref="G10:G17" si="1">D10/C10</f>
        <v>9.830481246354357E-2</v>
      </c>
      <c r="H10" s="242">
        <f t="shared" ref="H10:H17" si="2">1-G10</f>
        <v>0.90169518753645639</v>
      </c>
      <c r="I10" s="157"/>
    </row>
    <row r="11" spans="1:9" ht="15.75" x14ac:dyDescent="0.25">
      <c r="A11" s="164"/>
      <c r="B11" s="165">
        <f>DATE(21,8,1)</f>
        <v>7884</v>
      </c>
      <c r="C11" s="226">
        <v>128391630.95</v>
      </c>
      <c r="D11" s="226">
        <v>12571995.619999999</v>
      </c>
      <c r="E11" s="226">
        <v>11056944.539999999</v>
      </c>
      <c r="F11" s="166">
        <f t="shared" si="0"/>
        <v>0.1370225811044902</v>
      </c>
      <c r="G11" s="241">
        <f t="shared" si="1"/>
        <v>9.7919120794531814E-2</v>
      </c>
      <c r="H11" s="242">
        <f t="shared" si="2"/>
        <v>0.9020808792054682</v>
      </c>
      <c r="I11" s="157"/>
    </row>
    <row r="12" spans="1:9" ht="15.75" x14ac:dyDescent="0.25">
      <c r="A12" s="164"/>
      <c r="B12" s="165">
        <f>DATE(21,9,1)</f>
        <v>7915</v>
      </c>
      <c r="C12" s="226">
        <v>124375181.01000001</v>
      </c>
      <c r="D12" s="226">
        <v>11932276.220000001</v>
      </c>
      <c r="E12" s="226">
        <v>11050997.59</v>
      </c>
      <c r="F12" s="166">
        <f t="shared" si="0"/>
        <v>7.9746522684745316E-2</v>
      </c>
      <c r="G12" s="241">
        <f t="shared" si="1"/>
        <v>9.5937759632612099E-2</v>
      </c>
      <c r="H12" s="242">
        <f t="shared" si="2"/>
        <v>0.90406224036738791</v>
      </c>
      <c r="I12" s="157"/>
    </row>
    <row r="13" spans="1:9" ht="15.75" x14ac:dyDescent="0.25">
      <c r="A13" s="164"/>
      <c r="B13" s="165">
        <f>DATE(21,10,1)</f>
        <v>7945</v>
      </c>
      <c r="C13" s="226">
        <v>130707452.04000001</v>
      </c>
      <c r="D13" s="226">
        <v>12592302.91</v>
      </c>
      <c r="E13" s="226">
        <v>11431719.140000001</v>
      </c>
      <c r="F13" s="166">
        <f t="shared" si="0"/>
        <v>0.10152311789563433</v>
      </c>
      <c r="G13" s="241">
        <f t="shared" si="1"/>
        <v>9.6339594364875353E-2</v>
      </c>
      <c r="H13" s="242">
        <f t="shared" si="2"/>
        <v>0.90366040563512462</v>
      </c>
      <c r="I13" s="157"/>
    </row>
    <row r="14" spans="1:9" ht="15.75" x14ac:dyDescent="0.25">
      <c r="A14" s="164"/>
      <c r="B14" s="165">
        <f>DATE(21,11,1)</f>
        <v>7976</v>
      </c>
      <c r="C14" s="226">
        <v>116416163.67</v>
      </c>
      <c r="D14" s="226">
        <v>11228260.109999999</v>
      </c>
      <c r="E14" s="226">
        <v>9830852.8200000003</v>
      </c>
      <c r="F14" s="166">
        <f t="shared" si="0"/>
        <v>0.14214507282187133</v>
      </c>
      <c r="G14" s="241">
        <f t="shared" si="1"/>
        <v>9.6449322465463436E-2</v>
      </c>
      <c r="H14" s="242">
        <f t="shared" si="2"/>
        <v>0.90355067753453655</v>
      </c>
      <c r="I14" s="157"/>
    </row>
    <row r="15" spans="1:9" ht="15.75" x14ac:dyDescent="0.25">
      <c r="A15" s="164"/>
      <c r="B15" s="165">
        <f>DATE(21,12,1)</f>
        <v>8006</v>
      </c>
      <c r="C15" s="226">
        <v>125465546.67</v>
      </c>
      <c r="D15" s="226">
        <v>12242955.609999999</v>
      </c>
      <c r="E15" s="226">
        <v>10848180.109999999</v>
      </c>
      <c r="F15" s="166">
        <f t="shared" si="0"/>
        <v>0.1285723029906442</v>
      </c>
      <c r="G15" s="241">
        <f t="shared" si="1"/>
        <v>9.7580219709251903E-2</v>
      </c>
      <c r="H15" s="242">
        <f t="shared" si="2"/>
        <v>0.9024197802907481</v>
      </c>
      <c r="I15" s="157"/>
    </row>
    <row r="16" spans="1:9" ht="15.75" x14ac:dyDescent="0.25">
      <c r="A16" s="164"/>
      <c r="B16" s="165">
        <f>DATE(22,1,1)</f>
        <v>8037</v>
      </c>
      <c r="C16" s="226">
        <v>107197391.36</v>
      </c>
      <c r="D16" s="226">
        <v>10440396.67</v>
      </c>
      <c r="E16" s="226">
        <v>11373635.939999999</v>
      </c>
      <c r="F16" s="166">
        <f t="shared" si="0"/>
        <v>-8.2052852308898472E-2</v>
      </c>
      <c r="G16" s="241">
        <f t="shared" si="1"/>
        <v>9.7394130002082913E-2</v>
      </c>
      <c r="H16" s="242">
        <f t="shared" si="2"/>
        <v>0.90260586999791714</v>
      </c>
      <c r="I16" s="157"/>
    </row>
    <row r="17" spans="1:9" ht="15.75" x14ac:dyDescent="0.25">
      <c r="A17" s="164"/>
      <c r="B17" s="165">
        <f>DATE(22,2,1)</f>
        <v>8068</v>
      </c>
      <c r="C17" s="226">
        <v>119422740.73999999</v>
      </c>
      <c r="D17" s="226">
        <v>11511927.220000001</v>
      </c>
      <c r="E17" s="226">
        <v>9994364.9199999999</v>
      </c>
      <c r="F17" s="166">
        <f t="shared" si="0"/>
        <v>0.15184179406569046</v>
      </c>
      <c r="G17" s="241">
        <f t="shared" si="1"/>
        <v>9.6396441319857792E-2</v>
      </c>
      <c r="H17" s="242">
        <f t="shared" si="2"/>
        <v>0.90360355868014219</v>
      </c>
      <c r="I17" s="157"/>
    </row>
    <row r="18" spans="1:9" ht="15.75" thickBot="1" x14ac:dyDescent="0.25">
      <c r="A18" s="167"/>
      <c r="B18" s="168"/>
      <c r="C18" s="226"/>
      <c r="D18" s="226"/>
      <c r="E18" s="226"/>
      <c r="F18" s="166"/>
      <c r="G18" s="241"/>
      <c r="H18" s="242"/>
      <c r="I18" s="157"/>
    </row>
    <row r="19" spans="1:9" ht="17.25" thickTop="1" thickBot="1" x14ac:dyDescent="0.3">
      <c r="A19" s="169" t="s">
        <v>14</v>
      </c>
      <c r="B19" s="155"/>
      <c r="C19" s="223">
        <f>SUM(C10:C18)</f>
        <v>989686786.22000003</v>
      </c>
      <c r="D19" s="223">
        <f>SUM(D10:D18)</f>
        <v>96057736.909999996</v>
      </c>
      <c r="E19" s="223">
        <f>SUM(E10:E18)</f>
        <v>87242558.040000007</v>
      </c>
      <c r="F19" s="170">
        <f>(+D19-E19)/E19</f>
        <v>0.10104218707065309</v>
      </c>
      <c r="G19" s="236">
        <f>D19/C19</f>
        <v>9.7058724282741995E-2</v>
      </c>
      <c r="H19" s="237">
        <f>1-G19</f>
        <v>0.90294127571725802</v>
      </c>
      <c r="I19" s="157"/>
    </row>
    <row r="20" spans="1:9" ht="15.75" thickTop="1" x14ac:dyDescent="0.2">
      <c r="A20" s="171"/>
      <c r="B20" s="172"/>
      <c r="C20" s="227"/>
      <c r="D20" s="227"/>
      <c r="E20" s="227"/>
      <c r="F20" s="173"/>
      <c r="G20" s="243"/>
      <c r="H20" s="244"/>
      <c r="I20" s="157"/>
    </row>
    <row r="21" spans="1:9" ht="15.75" x14ac:dyDescent="0.25">
      <c r="A21" s="19" t="s">
        <v>48</v>
      </c>
      <c r="B21" s="165">
        <f>DATE(21,7,1)</f>
        <v>7853</v>
      </c>
      <c r="C21" s="226">
        <v>73584363.370000005</v>
      </c>
      <c r="D21" s="226">
        <v>7305624.1500000004</v>
      </c>
      <c r="E21" s="226">
        <v>5066109.03</v>
      </c>
      <c r="F21" s="166">
        <f t="shared" ref="F21:F28" si="3">(+D21-E21)/E21</f>
        <v>0.44205821602698508</v>
      </c>
      <c r="G21" s="241">
        <f t="shared" ref="G21:G28" si="4">D21/C21</f>
        <v>9.928229063103465E-2</v>
      </c>
      <c r="H21" s="242">
        <f t="shared" ref="H21:H28" si="5">1-G21</f>
        <v>0.90071770936896534</v>
      </c>
      <c r="I21" s="157"/>
    </row>
    <row r="22" spans="1:9" ht="15.75" x14ac:dyDescent="0.25">
      <c r="A22" s="19"/>
      <c r="B22" s="165">
        <f>DATE(21,8,1)</f>
        <v>7884</v>
      </c>
      <c r="C22" s="226">
        <v>67816496.489999995</v>
      </c>
      <c r="D22" s="226">
        <v>6574172.1100000003</v>
      </c>
      <c r="E22" s="226">
        <v>5468550.7300000004</v>
      </c>
      <c r="F22" s="166">
        <f t="shared" si="3"/>
        <v>0.20217813358384989</v>
      </c>
      <c r="G22" s="241">
        <f t="shared" si="4"/>
        <v>9.6940603691749352E-2</v>
      </c>
      <c r="H22" s="242">
        <f t="shared" si="5"/>
        <v>0.90305939630825061</v>
      </c>
      <c r="I22" s="157"/>
    </row>
    <row r="23" spans="1:9" ht="15.75" x14ac:dyDescent="0.25">
      <c r="A23" s="19"/>
      <c r="B23" s="165">
        <f>DATE(21,9,1)</f>
        <v>7915</v>
      </c>
      <c r="C23" s="226">
        <v>67990554.870000005</v>
      </c>
      <c r="D23" s="226">
        <v>6771046.1100000003</v>
      </c>
      <c r="E23" s="226">
        <v>5506925.1600000001</v>
      </c>
      <c r="F23" s="166">
        <f t="shared" si="3"/>
        <v>0.22955114029550389</v>
      </c>
      <c r="G23" s="241">
        <f t="shared" si="4"/>
        <v>9.9588040176263382E-2</v>
      </c>
      <c r="H23" s="242">
        <f t="shared" si="5"/>
        <v>0.90041195982373656</v>
      </c>
      <c r="I23" s="157"/>
    </row>
    <row r="24" spans="1:9" ht="15.75" x14ac:dyDescent="0.25">
      <c r="A24" s="19"/>
      <c r="B24" s="165">
        <f>DATE(21,10,1)</f>
        <v>7945</v>
      </c>
      <c r="C24" s="226">
        <v>70153959.480000004</v>
      </c>
      <c r="D24" s="226">
        <v>7189129.7599999998</v>
      </c>
      <c r="E24" s="226">
        <v>5104255.3899999997</v>
      </c>
      <c r="F24" s="166">
        <f t="shared" si="3"/>
        <v>0.40845808265875194</v>
      </c>
      <c r="G24" s="241">
        <f t="shared" si="4"/>
        <v>0.10247646481093528</v>
      </c>
      <c r="H24" s="242">
        <f t="shared" si="5"/>
        <v>0.89752353518906469</v>
      </c>
      <c r="I24" s="157"/>
    </row>
    <row r="25" spans="1:9" ht="15.75" x14ac:dyDescent="0.25">
      <c r="A25" s="19"/>
      <c r="B25" s="165">
        <f>DATE(21,11,1)</f>
        <v>7976</v>
      </c>
      <c r="C25" s="226">
        <v>61861650.840000004</v>
      </c>
      <c r="D25" s="226">
        <v>6088324.1399999997</v>
      </c>
      <c r="E25" s="226">
        <v>4814628.37</v>
      </c>
      <c r="F25" s="166">
        <f t="shared" si="3"/>
        <v>0.26454705786565197</v>
      </c>
      <c r="G25" s="241">
        <f t="shared" si="4"/>
        <v>9.8418390995528751E-2</v>
      </c>
      <c r="H25" s="242">
        <f t="shared" si="5"/>
        <v>0.90158160900447126</v>
      </c>
      <c r="I25" s="157"/>
    </row>
    <row r="26" spans="1:9" ht="15.75" x14ac:dyDescent="0.25">
      <c r="A26" s="19"/>
      <c r="B26" s="165">
        <f>DATE(21,12,1)</f>
        <v>8006</v>
      </c>
      <c r="C26" s="226">
        <v>69301193.799999997</v>
      </c>
      <c r="D26" s="226">
        <v>6682194.9000000004</v>
      </c>
      <c r="E26" s="226">
        <v>5255704.49</v>
      </c>
      <c r="F26" s="166">
        <f t="shared" si="3"/>
        <v>0.27141754501497861</v>
      </c>
      <c r="G26" s="241">
        <f t="shared" si="4"/>
        <v>9.6422507803898758E-2</v>
      </c>
      <c r="H26" s="242">
        <f t="shared" si="5"/>
        <v>0.90357749219610128</v>
      </c>
      <c r="I26" s="157"/>
    </row>
    <row r="27" spans="1:9" ht="15.75" x14ac:dyDescent="0.25">
      <c r="A27" s="19"/>
      <c r="B27" s="165">
        <f>DATE(22,1,1)</f>
        <v>8037</v>
      </c>
      <c r="C27" s="226">
        <v>57247161.740000002</v>
      </c>
      <c r="D27" s="226">
        <v>5978134.71</v>
      </c>
      <c r="E27" s="226">
        <v>6374309.2999999998</v>
      </c>
      <c r="F27" s="166">
        <f t="shared" si="3"/>
        <v>-6.2151767564840296E-2</v>
      </c>
      <c r="G27" s="241">
        <f t="shared" si="4"/>
        <v>0.10442674410918315</v>
      </c>
      <c r="H27" s="242">
        <f t="shared" si="5"/>
        <v>0.89557325589081682</v>
      </c>
      <c r="I27" s="157"/>
    </row>
    <row r="28" spans="1:9" ht="15.75" x14ac:dyDescent="0.25">
      <c r="A28" s="19"/>
      <c r="B28" s="165">
        <f>DATE(22,2,1)</f>
        <v>8068</v>
      </c>
      <c r="C28" s="226">
        <v>61471456.630000003</v>
      </c>
      <c r="D28" s="226">
        <v>6104570.21</v>
      </c>
      <c r="E28" s="226">
        <v>5505403.3499999996</v>
      </c>
      <c r="F28" s="166">
        <f t="shared" si="3"/>
        <v>0.10883250906584353</v>
      </c>
      <c r="G28" s="241">
        <f t="shared" si="4"/>
        <v>9.9307394759550527E-2</v>
      </c>
      <c r="H28" s="242">
        <f t="shared" si="5"/>
        <v>0.90069260524044947</v>
      </c>
      <c r="I28" s="157"/>
    </row>
    <row r="29" spans="1:9" ht="15.75" thickBot="1" x14ac:dyDescent="0.25">
      <c r="A29" s="167"/>
      <c r="B29" s="165"/>
      <c r="C29" s="226"/>
      <c r="D29" s="226"/>
      <c r="E29" s="226"/>
      <c r="F29" s="166"/>
      <c r="G29" s="241"/>
      <c r="H29" s="242"/>
      <c r="I29" s="157"/>
    </row>
    <row r="30" spans="1:9" ht="17.25" thickTop="1" thickBot="1" x14ac:dyDescent="0.3">
      <c r="A30" s="169" t="s">
        <v>14</v>
      </c>
      <c r="B30" s="155"/>
      <c r="C30" s="223">
        <f>SUM(C21:C29)</f>
        <v>529426837.22000009</v>
      </c>
      <c r="D30" s="223">
        <f>SUM(D21:D29)</f>
        <v>52693196.090000004</v>
      </c>
      <c r="E30" s="223">
        <f>SUM(E21:E29)</f>
        <v>43095885.82</v>
      </c>
      <c r="F30" s="170">
        <f>(+D30-E30)/E30</f>
        <v>0.22269667016673944</v>
      </c>
      <c r="G30" s="236">
        <f>D30/C30</f>
        <v>9.9528759000374722E-2</v>
      </c>
      <c r="H30" s="237">
        <f>1-G30</f>
        <v>0.90047124099962528</v>
      </c>
      <c r="I30" s="157"/>
    </row>
    <row r="31" spans="1:9" ht="15.75" thickTop="1" x14ac:dyDescent="0.2">
      <c r="A31" s="171"/>
      <c r="B31" s="172"/>
      <c r="C31" s="227"/>
      <c r="D31" s="227"/>
      <c r="E31" s="227"/>
      <c r="F31" s="173"/>
      <c r="G31" s="243"/>
      <c r="H31" s="244"/>
      <c r="I31" s="157"/>
    </row>
    <row r="32" spans="1:9" ht="15.75" x14ac:dyDescent="0.25">
      <c r="A32" s="19" t="s">
        <v>64</v>
      </c>
      <c r="B32" s="165">
        <f>DATE(21,7,1)</f>
        <v>7853</v>
      </c>
      <c r="C32" s="226">
        <v>41344494.670000002</v>
      </c>
      <c r="D32" s="226">
        <v>4179858.95</v>
      </c>
      <c r="E32" s="226">
        <v>3105687.6</v>
      </c>
      <c r="F32" s="166">
        <f t="shared" ref="F32:F39" si="6">(+D32-E32)/E32</f>
        <v>0.34587231181912825</v>
      </c>
      <c r="G32" s="241">
        <f t="shared" ref="G32:G39" si="7">D32/C32</f>
        <v>0.10109831994229088</v>
      </c>
      <c r="H32" s="242">
        <f t="shared" ref="H32:H39" si="8">1-G32</f>
        <v>0.8989016800577091</v>
      </c>
      <c r="I32" s="157"/>
    </row>
    <row r="33" spans="1:9" ht="15.75" x14ac:dyDescent="0.25">
      <c r="A33" s="19"/>
      <c r="B33" s="165">
        <f>DATE(21,8,1)</f>
        <v>7884</v>
      </c>
      <c r="C33" s="226">
        <v>34738721.109999999</v>
      </c>
      <c r="D33" s="226">
        <v>3554355.99</v>
      </c>
      <c r="E33" s="226">
        <v>3031801</v>
      </c>
      <c r="F33" s="166">
        <f t="shared" si="6"/>
        <v>0.17235794499704968</v>
      </c>
      <c r="G33" s="241">
        <f t="shared" si="7"/>
        <v>0.10231683482950188</v>
      </c>
      <c r="H33" s="242">
        <f t="shared" si="8"/>
        <v>0.89768316517049818</v>
      </c>
      <c r="I33" s="157"/>
    </row>
    <row r="34" spans="1:9" ht="15.75" x14ac:dyDescent="0.25">
      <c r="A34" s="19"/>
      <c r="B34" s="165">
        <f>DATE(21,9,1)</f>
        <v>7915</v>
      </c>
      <c r="C34" s="226">
        <v>35864944.780000001</v>
      </c>
      <c r="D34" s="226">
        <v>3815155.29</v>
      </c>
      <c r="E34" s="226">
        <v>2818231.18</v>
      </c>
      <c r="F34" s="166">
        <f t="shared" si="6"/>
        <v>0.35374106889272294</v>
      </c>
      <c r="G34" s="241">
        <f t="shared" si="7"/>
        <v>0.10637560752993303</v>
      </c>
      <c r="H34" s="242">
        <f t="shared" si="8"/>
        <v>0.89362439247006697</v>
      </c>
      <c r="I34" s="157"/>
    </row>
    <row r="35" spans="1:9" ht="15.75" x14ac:dyDescent="0.25">
      <c r="A35" s="19"/>
      <c r="B35" s="165">
        <f>DATE(21,10,1)</f>
        <v>7945</v>
      </c>
      <c r="C35" s="226">
        <v>35456144.609999999</v>
      </c>
      <c r="D35" s="226">
        <v>3758784.61</v>
      </c>
      <c r="E35" s="226">
        <v>2969140.93</v>
      </c>
      <c r="F35" s="166">
        <f t="shared" si="6"/>
        <v>0.26595021880621872</v>
      </c>
      <c r="G35" s="241">
        <f t="shared" si="7"/>
        <v>0.10601222020455878</v>
      </c>
      <c r="H35" s="242">
        <f t="shared" si="8"/>
        <v>0.8939877797954412</v>
      </c>
      <c r="I35" s="157"/>
    </row>
    <row r="36" spans="1:9" ht="15.75" x14ac:dyDescent="0.25">
      <c r="A36" s="19"/>
      <c r="B36" s="165">
        <f>DATE(21,11,1)</f>
        <v>7976</v>
      </c>
      <c r="C36" s="226">
        <v>31753102.989999998</v>
      </c>
      <c r="D36" s="226">
        <v>3347078.48</v>
      </c>
      <c r="E36" s="226">
        <v>2745164.62</v>
      </c>
      <c r="F36" s="166">
        <f t="shared" si="6"/>
        <v>0.21926330232246685</v>
      </c>
      <c r="G36" s="241">
        <f t="shared" si="7"/>
        <v>0.10540949276844204</v>
      </c>
      <c r="H36" s="242">
        <f t="shared" si="8"/>
        <v>0.89459050723155797</v>
      </c>
      <c r="I36" s="157"/>
    </row>
    <row r="37" spans="1:9" ht="15.75" x14ac:dyDescent="0.25">
      <c r="A37" s="19"/>
      <c r="B37" s="165">
        <f>DATE(21,12,1)</f>
        <v>8006</v>
      </c>
      <c r="C37" s="226">
        <v>36776952.969999999</v>
      </c>
      <c r="D37" s="226">
        <v>3599731.36</v>
      </c>
      <c r="E37" s="226">
        <v>2957388.53</v>
      </c>
      <c r="F37" s="166">
        <f t="shared" si="6"/>
        <v>0.21719933768729405</v>
      </c>
      <c r="G37" s="241">
        <f t="shared" si="7"/>
        <v>9.7880087100647037E-2</v>
      </c>
      <c r="H37" s="242">
        <f t="shared" si="8"/>
        <v>0.902119912899353</v>
      </c>
      <c r="I37" s="157"/>
    </row>
    <row r="38" spans="1:9" ht="15.75" x14ac:dyDescent="0.25">
      <c r="A38" s="19"/>
      <c r="B38" s="165">
        <f>DATE(22,1,1)</f>
        <v>8037</v>
      </c>
      <c r="C38" s="226">
        <v>30780937.68</v>
      </c>
      <c r="D38" s="226">
        <v>3120845.46</v>
      </c>
      <c r="E38" s="226">
        <v>3739186.99</v>
      </c>
      <c r="F38" s="166">
        <f t="shared" si="6"/>
        <v>-0.16536790795798106</v>
      </c>
      <c r="G38" s="241">
        <f t="shared" si="7"/>
        <v>0.101388901548239</v>
      </c>
      <c r="H38" s="242">
        <f t="shared" si="8"/>
        <v>0.89861109845176101</v>
      </c>
      <c r="I38" s="157"/>
    </row>
    <row r="39" spans="1:9" ht="15.75" x14ac:dyDescent="0.25">
      <c r="A39" s="19"/>
      <c r="B39" s="165">
        <f>DATE(22,2,1)</f>
        <v>8068</v>
      </c>
      <c r="C39" s="226">
        <v>33531797.129999999</v>
      </c>
      <c r="D39" s="226">
        <v>3529009.1</v>
      </c>
      <c r="E39" s="226">
        <v>2745767.52</v>
      </c>
      <c r="F39" s="166">
        <f t="shared" si="6"/>
        <v>0.2852541499944613</v>
      </c>
      <c r="G39" s="241">
        <f t="shared" si="7"/>
        <v>0.10524366130208662</v>
      </c>
      <c r="H39" s="242">
        <f t="shared" si="8"/>
        <v>0.89475633869791338</v>
      </c>
      <c r="I39" s="157"/>
    </row>
    <row r="40" spans="1:9" ht="15.75" thickBot="1" x14ac:dyDescent="0.25">
      <c r="A40" s="167"/>
      <c r="B40" s="165"/>
      <c r="C40" s="226"/>
      <c r="D40" s="226"/>
      <c r="E40" s="226"/>
      <c r="F40" s="166"/>
      <c r="G40" s="241"/>
      <c r="H40" s="242"/>
      <c r="I40" s="157"/>
    </row>
    <row r="41" spans="1:9" ht="17.25" thickTop="1" thickBot="1" x14ac:dyDescent="0.3">
      <c r="A41" s="174" t="s">
        <v>14</v>
      </c>
      <c r="B41" s="175"/>
      <c r="C41" s="228">
        <f>SUM(C32:C40)</f>
        <v>280247095.94000006</v>
      </c>
      <c r="D41" s="228">
        <f>SUM(D32:D40)</f>
        <v>28904819.240000002</v>
      </c>
      <c r="E41" s="228">
        <f>SUM(E32:E40)</f>
        <v>24112368.370000001</v>
      </c>
      <c r="F41" s="176">
        <f>(+D41-E41)/E41</f>
        <v>0.19875487950667869</v>
      </c>
      <c r="G41" s="245">
        <f>D41/C41</f>
        <v>0.1031404773100251</v>
      </c>
      <c r="H41" s="246">
        <f>1-G41</f>
        <v>0.89685952268997493</v>
      </c>
      <c r="I41" s="157"/>
    </row>
    <row r="42" spans="1:9" ht="15.75" thickTop="1" x14ac:dyDescent="0.2">
      <c r="A42" s="167"/>
      <c r="B42" s="168"/>
      <c r="C42" s="226"/>
      <c r="D42" s="226"/>
      <c r="E42" s="226"/>
      <c r="F42" s="166"/>
      <c r="G42" s="241"/>
      <c r="H42" s="242"/>
      <c r="I42" s="157"/>
    </row>
    <row r="43" spans="1:9" ht="15.75" x14ac:dyDescent="0.25">
      <c r="A43" s="177" t="s">
        <v>59</v>
      </c>
      <c r="B43" s="165">
        <f>DATE(21,7,1)</f>
        <v>7853</v>
      </c>
      <c r="C43" s="226">
        <v>184241191.87</v>
      </c>
      <c r="D43" s="226">
        <v>16788708.57</v>
      </c>
      <c r="E43" s="226">
        <v>12870761.890000001</v>
      </c>
      <c r="F43" s="166">
        <f t="shared" ref="F43:F50" si="9">(+D43-E43)/E43</f>
        <v>0.30440674091283337</v>
      </c>
      <c r="G43" s="241">
        <f t="shared" ref="G43:G50" si="10">D43/C43</f>
        <v>9.1123534317157806E-2</v>
      </c>
      <c r="H43" s="242">
        <f t="shared" ref="H43:H50" si="11">1-G43</f>
        <v>0.90887646568284219</v>
      </c>
      <c r="I43" s="157"/>
    </row>
    <row r="44" spans="1:9" ht="15.75" x14ac:dyDescent="0.25">
      <c r="A44" s="177"/>
      <c r="B44" s="165">
        <f>DATE(21,8,1)</f>
        <v>7884</v>
      </c>
      <c r="C44" s="226">
        <v>171470115.47</v>
      </c>
      <c r="D44" s="226">
        <v>15228470.93</v>
      </c>
      <c r="E44" s="226">
        <v>13070251.67</v>
      </c>
      <c r="F44" s="166">
        <f t="shared" si="9"/>
        <v>0.16512453734565311</v>
      </c>
      <c r="G44" s="241">
        <f t="shared" si="10"/>
        <v>8.8811224558044563E-2</v>
      </c>
      <c r="H44" s="242">
        <f t="shared" si="11"/>
        <v>0.91118877544195542</v>
      </c>
      <c r="I44" s="157"/>
    </row>
    <row r="45" spans="1:9" ht="15.75" x14ac:dyDescent="0.25">
      <c r="A45" s="177"/>
      <c r="B45" s="165">
        <f>DATE(21,9,1)</f>
        <v>7915</v>
      </c>
      <c r="C45" s="226">
        <v>183696506.80000001</v>
      </c>
      <c r="D45" s="226">
        <v>16699713.119999999</v>
      </c>
      <c r="E45" s="226">
        <v>12783360.18</v>
      </c>
      <c r="F45" s="166">
        <f t="shared" si="9"/>
        <v>0.30636334147318062</v>
      </c>
      <c r="G45" s="241">
        <f t="shared" si="10"/>
        <v>9.0909257943493998E-2</v>
      </c>
      <c r="H45" s="242">
        <f t="shared" si="11"/>
        <v>0.90909074205650597</v>
      </c>
      <c r="I45" s="157"/>
    </row>
    <row r="46" spans="1:9" ht="15.75" x14ac:dyDescent="0.25">
      <c r="A46" s="177"/>
      <c r="B46" s="165">
        <f>DATE(21,10,1)</f>
        <v>7945</v>
      </c>
      <c r="C46" s="226">
        <v>184731805.90000001</v>
      </c>
      <c r="D46" s="226">
        <v>16704308.949999999</v>
      </c>
      <c r="E46" s="226">
        <v>13822122.460000001</v>
      </c>
      <c r="F46" s="166">
        <f t="shared" si="9"/>
        <v>0.20851982018975673</v>
      </c>
      <c r="G46" s="241">
        <f t="shared" si="10"/>
        <v>9.0424650311936347E-2</v>
      </c>
      <c r="H46" s="242">
        <f t="shared" si="11"/>
        <v>0.90957534968806364</v>
      </c>
      <c r="I46" s="157"/>
    </row>
    <row r="47" spans="1:9" ht="15.75" x14ac:dyDescent="0.25">
      <c r="A47" s="177"/>
      <c r="B47" s="165">
        <f>DATE(21,11,1)</f>
        <v>7976</v>
      </c>
      <c r="C47" s="226">
        <v>168594729.13</v>
      </c>
      <c r="D47" s="226">
        <v>15419780.210000001</v>
      </c>
      <c r="E47" s="226">
        <v>11508836.74</v>
      </c>
      <c r="F47" s="166">
        <f t="shared" si="9"/>
        <v>0.33982091833896327</v>
      </c>
      <c r="G47" s="241">
        <f t="shared" si="10"/>
        <v>9.146063040980433E-2</v>
      </c>
      <c r="H47" s="242">
        <f t="shared" si="11"/>
        <v>0.90853936959019566</v>
      </c>
      <c r="I47" s="157"/>
    </row>
    <row r="48" spans="1:9" ht="15.75" x14ac:dyDescent="0.25">
      <c r="A48" s="177"/>
      <c r="B48" s="165">
        <f>DATE(21,12,1)</f>
        <v>8006</v>
      </c>
      <c r="C48" s="226">
        <v>190132607.16999999</v>
      </c>
      <c r="D48" s="226">
        <v>17100191.719999999</v>
      </c>
      <c r="E48" s="226">
        <v>12101151.109999999</v>
      </c>
      <c r="F48" s="166">
        <f t="shared" si="9"/>
        <v>0.41310455216685577</v>
      </c>
      <c r="G48" s="241">
        <f t="shared" si="10"/>
        <v>8.9938238235541049E-2</v>
      </c>
      <c r="H48" s="242">
        <f t="shared" si="11"/>
        <v>0.91006176176445897</v>
      </c>
      <c r="I48" s="157"/>
    </row>
    <row r="49" spans="1:9" ht="15.75" x14ac:dyDescent="0.25">
      <c r="A49" s="177"/>
      <c r="B49" s="165">
        <f>DATE(22,1,1)</f>
        <v>8037</v>
      </c>
      <c r="C49" s="226">
        <v>171922425.78</v>
      </c>
      <c r="D49" s="226">
        <v>15681818.640000001</v>
      </c>
      <c r="E49" s="226">
        <v>12204646.310000001</v>
      </c>
      <c r="F49" s="166">
        <f t="shared" si="9"/>
        <v>0.28490562050544177</v>
      </c>
      <c r="G49" s="241">
        <f t="shared" si="10"/>
        <v>9.121450310425E-2</v>
      </c>
      <c r="H49" s="242">
        <f t="shared" si="11"/>
        <v>0.90878549689575006</v>
      </c>
      <c r="I49" s="157"/>
    </row>
    <row r="50" spans="1:9" ht="15.75" x14ac:dyDescent="0.25">
      <c r="A50" s="177"/>
      <c r="B50" s="165">
        <f>DATE(22,2,1)</f>
        <v>8068</v>
      </c>
      <c r="C50" s="226">
        <v>165948421.02000001</v>
      </c>
      <c r="D50" s="226">
        <v>15007235.039999999</v>
      </c>
      <c r="E50" s="226">
        <v>10252818.6</v>
      </c>
      <c r="F50" s="166">
        <f t="shared" si="9"/>
        <v>0.4637179906801433</v>
      </c>
      <c r="G50" s="241">
        <f t="shared" si="10"/>
        <v>9.0433129449248181E-2</v>
      </c>
      <c r="H50" s="242">
        <f t="shared" si="11"/>
        <v>0.9095668705507518</v>
      </c>
      <c r="I50" s="157"/>
    </row>
    <row r="51" spans="1:9" ht="15.75" thickBot="1" x14ac:dyDescent="0.25">
      <c r="A51" s="167"/>
      <c r="B51" s="168"/>
      <c r="C51" s="226"/>
      <c r="D51" s="226"/>
      <c r="E51" s="226"/>
      <c r="F51" s="166"/>
      <c r="G51" s="241"/>
      <c r="H51" s="242"/>
      <c r="I51" s="157"/>
    </row>
    <row r="52" spans="1:9" ht="17.25" thickTop="1" thickBot="1" x14ac:dyDescent="0.3">
      <c r="A52" s="174" t="s">
        <v>14</v>
      </c>
      <c r="B52" s="178"/>
      <c r="C52" s="228">
        <f>SUM(C43:C51)</f>
        <v>1420737803.1400001</v>
      </c>
      <c r="D52" s="228">
        <f>SUM(D43:D51)</f>
        <v>128630227.18000001</v>
      </c>
      <c r="E52" s="228">
        <f>SUM(E43:E51)</f>
        <v>98613948.960000008</v>
      </c>
      <c r="F52" s="176">
        <f>(+D52-E52)/E52</f>
        <v>0.30438166746750261</v>
      </c>
      <c r="G52" s="245">
        <f>D52/C52</f>
        <v>9.0537625518031448E-2</v>
      </c>
      <c r="H52" s="246">
        <f>1-G52</f>
        <v>0.90946237448196854</v>
      </c>
      <c r="I52" s="157"/>
    </row>
    <row r="53" spans="1:9" ht="15.75" thickTop="1" x14ac:dyDescent="0.2">
      <c r="A53" s="167"/>
      <c r="B53" s="168"/>
      <c r="C53" s="226"/>
      <c r="D53" s="226"/>
      <c r="E53" s="226"/>
      <c r="F53" s="166"/>
      <c r="G53" s="241"/>
      <c r="H53" s="242"/>
      <c r="I53" s="157"/>
    </row>
    <row r="54" spans="1:9" ht="15.75" x14ac:dyDescent="0.25">
      <c r="A54" s="164" t="s">
        <v>62</v>
      </c>
      <c r="B54" s="165">
        <f>DATE(21,7,1)</f>
        <v>7853</v>
      </c>
      <c r="C54" s="226">
        <v>134033453.04000001</v>
      </c>
      <c r="D54" s="226">
        <v>12735420.67</v>
      </c>
      <c r="E54" s="226">
        <v>13388447.99</v>
      </c>
      <c r="F54" s="166">
        <f t="shared" ref="F54:F61" si="12">(+D54-E54)/E54</f>
        <v>-4.8775430915349902E-2</v>
      </c>
      <c r="G54" s="241">
        <f t="shared" ref="G54:G61" si="13">D54/C54</f>
        <v>9.5016731876625835E-2</v>
      </c>
      <c r="H54" s="242">
        <f t="shared" ref="H54:H61" si="14">1-G54</f>
        <v>0.90498326812337415</v>
      </c>
      <c r="I54" s="157"/>
    </row>
    <row r="55" spans="1:9" ht="15.75" x14ac:dyDescent="0.25">
      <c r="A55" s="164"/>
      <c r="B55" s="165">
        <f>DATE(21,8,1)</f>
        <v>7884</v>
      </c>
      <c r="C55" s="226">
        <v>120007751.62</v>
      </c>
      <c r="D55" s="226">
        <v>11645905.550000001</v>
      </c>
      <c r="E55" s="226">
        <v>12503132.880000001</v>
      </c>
      <c r="F55" s="166">
        <f t="shared" si="12"/>
        <v>-6.8561002928411649E-2</v>
      </c>
      <c r="G55" s="241">
        <f t="shared" si="13"/>
        <v>9.7042944249770793E-2</v>
      </c>
      <c r="H55" s="242">
        <f t="shared" si="14"/>
        <v>0.90295705575022922</v>
      </c>
      <c r="I55" s="157"/>
    </row>
    <row r="56" spans="1:9" ht="15.75" x14ac:dyDescent="0.25">
      <c r="A56" s="164"/>
      <c r="B56" s="165">
        <f>DATE(21,9,1)</f>
        <v>7915</v>
      </c>
      <c r="C56" s="226">
        <v>117022540.7</v>
      </c>
      <c r="D56" s="226">
        <v>11184280.18</v>
      </c>
      <c r="E56" s="226">
        <v>11218535.91</v>
      </c>
      <c r="F56" s="166">
        <f t="shared" si="12"/>
        <v>-3.053493813703935E-3</v>
      </c>
      <c r="G56" s="241">
        <f t="shared" si="13"/>
        <v>9.5573725481419153E-2</v>
      </c>
      <c r="H56" s="242">
        <f t="shared" si="14"/>
        <v>0.90442627451858082</v>
      </c>
      <c r="I56" s="157"/>
    </row>
    <row r="57" spans="1:9" ht="15.75" x14ac:dyDescent="0.25">
      <c r="A57" s="164"/>
      <c r="B57" s="165">
        <f>DATE(21,10,1)</f>
        <v>7945</v>
      </c>
      <c r="C57" s="226">
        <v>120771341.03</v>
      </c>
      <c r="D57" s="226">
        <v>11396005.27</v>
      </c>
      <c r="E57" s="226">
        <v>11439504.380000001</v>
      </c>
      <c r="F57" s="166">
        <f t="shared" si="12"/>
        <v>-3.8025344940688125E-3</v>
      </c>
      <c r="G57" s="241">
        <f t="shared" si="13"/>
        <v>9.436017827415856E-2</v>
      </c>
      <c r="H57" s="242">
        <f t="shared" si="14"/>
        <v>0.90563982172584145</v>
      </c>
      <c r="I57" s="157"/>
    </row>
    <row r="58" spans="1:9" ht="15.75" x14ac:dyDescent="0.25">
      <c r="A58" s="164"/>
      <c r="B58" s="165">
        <f>DATE(21,11,1)</f>
        <v>7976</v>
      </c>
      <c r="C58" s="226">
        <v>113934737.93000001</v>
      </c>
      <c r="D58" s="226">
        <v>11134846.92</v>
      </c>
      <c r="E58" s="226">
        <v>10067796.140000001</v>
      </c>
      <c r="F58" s="166">
        <f t="shared" si="12"/>
        <v>0.10598653023580186</v>
      </c>
      <c r="G58" s="241">
        <f t="shared" si="13"/>
        <v>9.7730043727674187E-2</v>
      </c>
      <c r="H58" s="242">
        <f t="shared" si="14"/>
        <v>0.90226995627232576</v>
      </c>
      <c r="I58" s="157"/>
    </row>
    <row r="59" spans="1:9" ht="15.75" x14ac:dyDescent="0.25">
      <c r="A59" s="164"/>
      <c r="B59" s="165">
        <f>DATE(21,12,1)</f>
        <v>8006</v>
      </c>
      <c r="C59" s="226">
        <v>123312951.98999999</v>
      </c>
      <c r="D59" s="226">
        <v>11993406.699999999</v>
      </c>
      <c r="E59" s="226">
        <v>10607281.23</v>
      </c>
      <c r="F59" s="166">
        <f t="shared" si="12"/>
        <v>0.13067679077648051</v>
      </c>
      <c r="G59" s="241">
        <f t="shared" si="13"/>
        <v>9.7259910710535899E-2</v>
      </c>
      <c r="H59" s="242">
        <f t="shared" si="14"/>
        <v>0.90274008928946414</v>
      </c>
      <c r="I59" s="157"/>
    </row>
    <row r="60" spans="1:9" ht="15.75" x14ac:dyDescent="0.25">
      <c r="A60" s="164"/>
      <c r="B60" s="165">
        <f>DATE(22,1,1)</f>
        <v>8037</v>
      </c>
      <c r="C60" s="226">
        <v>107371536.31999999</v>
      </c>
      <c r="D60" s="226">
        <v>10442254.630000001</v>
      </c>
      <c r="E60" s="226">
        <v>11913560.08</v>
      </c>
      <c r="F60" s="166">
        <f t="shared" si="12"/>
        <v>-0.12349838672236747</v>
      </c>
      <c r="G60" s="241">
        <f t="shared" si="13"/>
        <v>9.7253471337868269E-2</v>
      </c>
      <c r="H60" s="242">
        <f t="shared" si="14"/>
        <v>0.90274652866213168</v>
      </c>
      <c r="I60" s="157"/>
    </row>
    <row r="61" spans="1:9" ht="15.75" x14ac:dyDescent="0.25">
      <c r="A61" s="164"/>
      <c r="B61" s="165">
        <f>DATE(22,2,1)</f>
        <v>8068</v>
      </c>
      <c r="C61" s="226">
        <v>107183986.48999999</v>
      </c>
      <c r="D61" s="226">
        <v>10124033.77</v>
      </c>
      <c r="E61" s="226">
        <v>10274207.17</v>
      </c>
      <c r="F61" s="166">
        <f t="shared" si="12"/>
        <v>-1.4616543886568367E-2</v>
      </c>
      <c r="G61" s="241">
        <f t="shared" si="13"/>
        <v>9.4454723149754713E-2</v>
      </c>
      <c r="H61" s="242">
        <f t="shared" si="14"/>
        <v>0.90554527685024533</v>
      </c>
      <c r="I61" s="157"/>
    </row>
    <row r="62" spans="1:9" ht="15.75" thickBot="1" x14ac:dyDescent="0.25">
      <c r="A62" s="167"/>
      <c r="B62" s="165"/>
      <c r="C62" s="226"/>
      <c r="D62" s="226"/>
      <c r="E62" s="226"/>
      <c r="F62" s="166"/>
      <c r="G62" s="241"/>
      <c r="H62" s="242"/>
      <c r="I62" s="157"/>
    </row>
    <row r="63" spans="1:9" ht="17.25" thickTop="1" thickBot="1" x14ac:dyDescent="0.3">
      <c r="A63" s="174" t="s">
        <v>14</v>
      </c>
      <c r="B63" s="175"/>
      <c r="C63" s="228">
        <f>SUM(C54:C62)</f>
        <v>943638299.11999989</v>
      </c>
      <c r="D63" s="230">
        <f>SUM(D54:D62)</f>
        <v>90656153.689999998</v>
      </c>
      <c r="E63" s="271">
        <f>SUM(E54:E62)</f>
        <v>91412465.780000001</v>
      </c>
      <c r="F63" s="272">
        <f>(+D63-E63)/E63</f>
        <v>-8.2736209284650537E-3</v>
      </c>
      <c r="G63" s="249">
        <f>D63/C63</f>
        <v>9.6070871407553479E-2</v>
      </c>
      <c r="H63" s="270">
        <f>1-G63</f>
        <v>0.90392912859244656</v>
      </c>
      <c r="I63" s="157"/>
    </row>
    <row r="64" spans="1:9" ht="15.75" thickTop="1" x14ac:dyDescent="0.2">
      <c r="A64" s="167"/>
      <c r="B64" s="168"/>
      <c r="C64" s="226"/>
      <c r="D64" s="226"/>
      <c r="E64" s="226"/>
      <c r="F64" s="166"/>
      <c r="G64" s="241"/>
      <c r="H64" s="242"/>
      <c r="I64" s="157"/>
    </row>
    <row r="65" spans="1:9" ht="15.75" x14ac:dyDescent="0.25">
      <c r="A65" s="164" t="s">
        <v>66</v>
      </c>
      <c r="B65" s="165">
        <f>DATE(21,7,1)</f>
        <v>7853</v>
      </c>
      <c r="C65" s="226">
        <v>55925733.850000001</v>
      </c>
      <c r="D65" s="226">
        <v>5744094.3399999999</v>
      </c>
      <c r="E65" s="226">
        <v>4434379.57</v>
      </c>
      <c r="F65" s="166">
        <f t="shared" ref="F65:F72" si="15">(+D65-E65)/E65</f>
        <v>0.29535468250409591</v>
      </c>
      <c r="G65" s="241">
        <f t="shared" ref="G65:G72" si="16">D65/C65</f>
        <v>0.10270932439449786</v>
      </c>
      <c r="H65" s="242">
        <f t="shared" ref="H65:H72" si="17">1-G65</f>
        <v>0.89729067560550213</v>
      </c>
      <c r="I65" s="157"/>
    </row>
    <row r="66" spans="1:9" ht="15.75" x14ac:dyDescent="0.25">
      <c r="A66" s="164"/>
      <c r="B66" s="165">
        <f>DATE(21,8,1)</f>
        <v>7884</v>
      </c>
      <c r="C66" s="226">
        <v>50658517.549999997</v>
      </c>
      <c r="D66" s="226">
        <v>5022432.17</v>
      </c>
      <c r="E66" s="226">
        <v>4333573.3</v>
      </c>
      <c r="F66" s="166">
        <f t="shared" si="15"/>
        <v>0.15895862889869664</v>
      </c>
      <c r="G66" s="241">
        <f t="shared" si="16"/>
        <v>9.9142896651937262E-2</v>
      </c>
      <c r="H66" s="242">
        <f t="shared" si="17"/>
        <v>0.90085710334806279</v>
      </c>
      <c r="I66" s="157"/>
    </row>
    <row r="67" spans="1:9" ht="15.75" x14ac:dyDescent="0.25">
      <c r="A67" s="164"/>
      <c r="B67" s="165">
        <f>DATE(21,9,1)</f>
        <v>7915</v>
      </c>
      <c r="C67" s="226">
        <v>50731057.32</v>
      </c>
      <c r="D67" s="226">
        <v>5281548.16</v>
      </c>
      <c r="E67" s="226">
        <v>4417017.5599999996</v>
      </c>
      <c r="F67" s="166">
        <f t="shared" si="15"/>
        <v>0.19572722731036654</v>
      </c>
      <c r="G67" s="241">
        <f t="shared" si="16"/>
        <v>0.10410877357996291</v>
      </c>
      <c r="H67" s="242">
        <f t="shared" si="17"/>
        <v>0.89589122642003705</v>
      </c>
      <c r="I67" s="157"/>
    </row>
    <row r="68" spans="1:9" ht="15.75" x14ac:dyDescent="0.25">
      <c r="A68" s="164"/>
      <c r="B68" s="165">
        <f>DATE(21,10,1)</f>
        <v>7945</v>
      </c>
      <c r="C68" s="226">
        <v>50383468.32</v>
      </c>
      <c r="D68" s="226">
        <v>5329338.8099999996</v>
      </c>
      <c r="E68" s="226">
        <v>4440838.8899999997</v>
      </c>
      <c r="F68" s="166">
        <f t="shared" si="15"/>
        <v>0.20007479262549874</v>
      </c>
      <c r="G68" s="241">
        <f t="shared" si="16"/>
        <v>0.10577554479083943</v>
      </c>
      <c r="H68" s="242">
        <f t="shared" si="17"/>
        <v>0.89422445520916061</v>
      </c>
      <c r="I68" s="157"/>
    </row>
    <row r="69" spans="1:9" ht="15.75" x14ac:dyDescent="0.25">
      <c r="A69" s="164"/>
      <c r="B69" s="165">
        <f>DATE(21,11,1)</f>
        <v>7976</v>
      </c>
      <c r="C69" s="226">
        <v>48521452.539999999</v>
      </c>
      <c r="D69" s="226">
        <v>4979381.55</v>
      </c>
      <c r="E69" s="226">
        <v>4093288.05</v>
      </c>
      <c r="F69" s="166">
        <f t="shared" si="15"/>
        <v>0.21647474821616819</v>
      </c>
      <c r="G69" s="241">
        <f t="shared" si="16"/>
        <v>0.10262226890044376</v>
      </c>
      <c r="H69" s="242">
        <f t="shared" si="17"/>
        <v>0.89737773109955621</v>
      </c>
      <c r="I69" s="157"/>
    </row>
    <row r="70" spans="1:9" ht="15.75" x14ac:dyDescent="0.25">
      <c r="A70" s="164"/>
      <c r="B70" s="165">
        <f>DATE(21,12,1)</f>
        <v>8006</v>
      </c>
      <c r="C70" s="226">
        <v>54263223.82</v>
      </c>
      <c r="D70" s="226">
        <v>5568235.3899999997</v>
      </c>
      <c r="E70" s="226">
        <v>5522096.1299999999</v>
      </c>
      <c r="F70" s="166">
        <f t="shared" si="15"/>
        <v>8.3553887715460285E-3</v>
      </c>
      <c r="G70" s="241">
        <f t="shared" si="16"/>
        <v>0.10261527049094518</v>
      </c>
      <c r="H70" s="242">
        <f t="shared" si="17"/>
        <v>0.89738472950905479</v>
      </c>
      <c r="I70" s="157"/>
    </row>
    <row r="71" spans="1:9" ht="15.75" x14ac:dyDescent="0.25">
      <c r="A71" s="164"/>
      <c r="B71" s="165">
        <f>DATE(22,1,1)</f>
        <v>8037</v>
      </c>
      <c r="C71" s="226">
        <v>47452534.899999999</v>
      </c>
      <c r="D71" s="226">
        <v>4884841.6900000004</v>
      </c>
      <c r="E71" s="226">
        <v>6117314.9299999997</v>
      </c>
      <c r="F71" s="166">
        <f t="shared" si="15"/>
        <v>-0.20147290994547495</v>
      </c>
      <c r="G71" s="241">
        <f t="shared" si="16"/>
        <v>0.10294163842446277</v>
      </c>
      <c r="H71" s="242">
        <f t="shared" si="17"/>
        <v>0.8970583615755372</v>
      </c>
      <c r="I71" s="157"/>
    </row>
    <row r="72" spans="1:9" ht="15.75" x14ac:dyDescent="0.25">
      <c r="A72" s="164"/>
      <c r="B72" s="165">
        <f>DATE(22,2,1)</f>
        <v>8068</v>
      </c>
      <c r="C72" s="226">
        <v>49042930.520000003</v>
      </c>
      <c r="D72" s="226">
        <v>4926896.7</v>
      </c>
      <c r="E72" s="226">
        <v>4347455.3600000003</v>
      </c>
      <c r="F72" s="166">
        <f t="shared" si="15"/>
        <v>0.13328287285737647</v>
      </c>
      <c r="G72" s="241">
        <f t="shared" si="16"/>
        <v>0.10046089513331145</v>
      </c>
      <c r="H72" s="242">
        <f t="shared" si="17"/>
        <v>0.89953910486668853</v>
      </c>
      <c r="I72" s="157"/>
    </row>
    <row r="73" spans="1:9" ht="15.75" thickBot="1" x14ac:dyDescent="0.25">
      <c r="A73" s="167"/>
      <c r="B73" s="165"/>
      <c r="C73" s="226"/>
      <c r="D73" s="226"/>
      <c r="E73" s="226"/>
      <c r="F73" s="166"/>
      <c r="G73" s="241"/>
      <c r="H73" s="242"/>
      <c r="I73" s="157"/>
    </row>
    <row r="74" spans="1:9" ht="17.25" thickTop="1" thickBot="1" x14ac:dyDescent="0.3">
      <c r="A74" s="174" t="s">
        <v>14</v>
      </c>
      <c r="B74" s="175"/>
      <c r="C74" s="228">
        <f>SUM(C65:C73)</f>
        <v>406978918.81999993</v>
      </c>
      <c r="D74" s="230">
        <f>SUM(D65:D73)</f>
        <v>41736768.810000002</v>
      </c>
      <c r="E74" s="271">
        <f>SUM(E65:E73)</f>
        <v>37705963.789999999</v>
      </c>
      <c r="F74" s="272">
        <f>(+D74-E74)/E74</f>
        <v>0.10690099429493997</v>
      </c>
      <c r="G74" s="249">
        <f>D74/C74</f>
        <v>0.10255265538326197</v>
      </c>
      <c r="H74" s="270">
        <f>1-G74</f>
        <v>0.89744734461673803</v>
      </c>
      <c r="I74" s="157"/>
    </row>
    <row r="75" spans="1:9" ht="15.75" thickTop="1" x14ac:dyDescent="0.2">
      <c r="A75" s="167"/>
      <c r="B75" s="168"/>
      <c r="C75" s="226"/>
      <c r="D75" s="226"/>
      <c r="E75" s="226"/>
      <c r="F75" s="166"/>
      <c r="G75" s="241"/>
      <c r="H75" s="242"/>
      <c r="I75" s="157"/>
    </row>
    <row r="76" spans="1:9" ht="15.75" x14ac:dyDescent="0.25">
      <c r="A76" s="290" t="s">
        <v>70</v>
      </c>
      <c r="B76" s="165">
        <f>DATE(21,7,1)</f>
        <v>7853</v>
      </c>
      <c r="C76" s="226">
        <v>75548562.819999993</v>
      </c>
      <c r="D76" s="226">
        <v>8446672.5700000003</v>
      </c>
      <c r="E76" s="226">
        <v>4303428.05</v>
      </c>
      <c r="F76" s="166">
        <f t="shared" ref="F76:F83" si="18">(+D76-E76)/E76</f>
        <v>0.96277769068312891</v>
      </c>
      <c r="G76" s="241">
        <f t="shared" ref="G76:G83" si="19">D76/C76</f>
        <v>0.11180454339184213</v>
      </c>
      <c r="H76" s="242">
        <f t="shared" ref="H76:H83" si="20">1-G76</f>
        <v>0.88819545660815791</v>
      </c>
      <c r="I76" s="157"/>
    </row>
    <row r="77" spans="1:9" ht="15.75" x14ac:dyDescent="0.25">
      <c r="A77" s="290"/>
      <c r="B77" s="165">
        <f>DATE(21,8,1)</f>
        <v>7884</v>
      </c>
      <c r="C77" s="226">
        <v>78426771.269999996</v>
      </c>
      <c r="D77" s="226">
        <v>8803736.4399999995</v>
      </c>
      <c r="E77" s="226">
        <v>4134795.6</v>
      </c>
      <c r="F77" s="166">
        <f t="shared" si="18"/>
        <v>1.1291829854902622</v>
      </c>
      <c r="G77" s="241">
        <f t="shared" si="19"/>
        <v>0.11225422515089088</v>
      </c>
      <c r="H77" s="242">
        <f t="shared" si="20"/>
        <v>0.8877457748491091</v>
      </c>
      <c r="I77" s="157"/>
    </row>
    <row r="78" spans="1:9" ht="15.75" x14ac:dyDescent="0.25">
      <c r="A78" s="290"/>
      <c r="B78" s="165">
        <f>DATE(21,9,1)</f>
        <v>7915</v>
      </c>
      <c r="C78" s="226">
        <v>81538936.450000003</v>
      </c>
      <c r="D78" s="226">
        <v>8914995.2300000004</v>
      </c>
      <c r="E78" s="226">
        <v>5078159.95</v>
      </c>
      <c r="F78" s="166">
        <f t="shared" si="18"/>
        <v>0.75555620889806752</v>
      </c>
      <c r="G78" s="241">
        <f t="shared" si="19"/>
        <v>0.1093342103556466</v>
      </c>
      <c r="H78" s="242">
        <f t="shared" si="20"/>
        <v>0.89066578964435339</v>
      </c>
      <c r="I78" s="157"/>
    </row>
    <row r="79" spans="1:9" ht="15.75" x14ac:dyDescent="0.25">
      <c r="A79" s="290"/>
      <c r="B79" s="165">
        <f>DATE(21,10,1)</f>
        <v>7945</v>
      </c>
      <c r="C79" s="226">
        <v>82353659.939999998</v>
      </c>
      <c r="D79" s="226">
        <v>9230867.6699999999</v>
      </c>
      <c r="E79" s="226">
        <v>5823943.8200000003</v>
      </c>
      <c r="F79" s="166">
        <f t="shared" si="18"/>
        <v>0.5849856996044992</v>
      </c>
      <c r="G79" s="241">
        <f t="shared" si="19"/>
        <v>0.11208812913385134</v>
      </c>
      <c r="H79" s="242">
        <f t="shared" si="20"/>
        <v>0.88791187086614864</v>
      </c>
      <c r="I79" s="157"/>
    </row>
    <row r="80" spans="1:9" ht="15.75" x14ac:dyDescent="0.25">
      <c r="A80" s="290"/>
      <c r="B80" s="165">
        <f>DATE(21,11,1)</f>
        <v>7976</v>
      </c>
      <c r="C80" s="226">
        <v>77184349.209999993</v>
      </c>
      <c r="D80" s="226">
        <v>8512217.6799999997</v>
      </c>
      <c r="E80" s="226">
        <v>5498815.8099999996</v>
      </c>
      <c r="F80" s="166">
        <f t="shared" si="18"/>
        <v>0.5480092394656878</v>
      </c>
      <c r="G80" s="241">
        <f t="shared" si="19"/>
        <v>0.11028424502019586</v>
      </c>
      <c r="H80" s="242">
        <f t="shared" si="20"/>
        <v>0.88971575497980415</v>
      </c>
      <c r="I80" s="157"/>
    </row>
    <row r="81" spans="1:9" ht="15.75" x14ac:dyDescent="0.25">
      <c r="A81" s="290"/>
      <c r="B81" s="165">
        <f>DATE(21,12,1)</f>
        <v>8006</v>
      </c>
      <c r="C81" s="226">
        <v>81671033.459999993</v>
      </c>
      <c r="D81" s="226">
        <v>9265401.0800000001</v>
      </c>
      <c r="E81" s="226">
        <v>6073396.25</v>
      </c>
      <c r="F81" s="166">
        <f t="shared" si="18"/>
        <v>0.52557164041453741</v>
      </c>
      <c r="G81" s="241">
        <f t="shared" si="19"/>
        <v>0.11344782461382608</v>
      </c>
      <c r="H81" s="242">
        <f t="shared" si="20"/>
        <v>0.88655217538617392</v>
      </c>
      <c r="I81" s="157"/>
    </row>
    <row r="82" spans="1:9" ht="15.75" x14ac:dyDescent="0.25">
      <c r="A82" s="290"/>
      <c r="B82" s="165">
        <f>DATE(22,1,1)</f>
        <v>8037</v>
      </c>
      <c r="C82" s="226">
        <v>72620256.519999996</v>
      </c>
      <c r="D82" s="226">
        <v>8004296.7699999996</v>
      </c>
      <c r="E82" s="226">
        <v>6544399.04</v>
      </c>
      <c r="F82" s="166">
        <f t="shared" si="18"/>
        <v>0.22307590369672806</v>
      </c>
      <c r="G82" s="241">
        <f t="shared" si="19"/>
        <v>0.11022126819113583</v>
      </c>
      <c r="H82" s="242">
        <f t="shared" si="20"/>
        <v>0.88977873180886413</v>
      </c>
      <c r="I82" s="157"/>
    </row>
    <row r="83" spans="1:9" ht="15.75" x14ac:dyDescent="0.25">
      <c r="A83" s="290"/>
      <c r="B83" s="165">
        <f>DATE(22,2,1)</f>
        <v>8068</v>
      </c>
      <c r="C83" s="226">
        <v>76264752.709999993</v>
      </c>
      <c r="D83" s="226">
        <v>8308096.3399999999</v>
      </c>
      <c r="E83" s="226">
        <v>5959695.79</v>
      </c>
      <c r="F83" s="166">
        <f t="shared" si="18"/>
        <v>0.39404705084787556</v>
      </c>
      <c r="G83" s="241">
        <f t="shared" si="19"/>
        <v>0.10893756348482364</v>
      </c>
      <c r="H83" s="242">
        <f t="shared" si="20"/>
        <v>0.89106243651517636</v>
      </c>
      <c r="I83" s="157"/>
    </row>
    <row r="84" spans="1:9" ht="15.75" thickBot="1" x14ac:dyDescent="0.25">
      <c r="A84" s="167"/>
      <c r="B84" s="165"/>
      <c r="C84" s="226"/>
      <c r="D84" s="226"/>
      <c r="E84" s="226"/>
      <c r="F84" s="166"/>
      <c r="G84" s="241"/>
      <c r="H84" s="242"/>
      <c r="I84" s="157"/>
    </row>
    <row r="85" spans="1:9" ht="17.25" thickTop="1" thickBot="1" x14ac:dyDescent="0.3">
      <c r="A85" s="174" t="s">
        <v>14</v>
      </c>
      <c r="B85" s="175"/>
      <c r="C85" s="228">
        <f>SUM(C76:C84)</f>
        <v>625608322.38</v>
      </c>
      <c r="D85" s="230">
        <f>SUM(D76:D84)</f>
        <v>69486283.780000001</v>
      </c>
      <c r="E85" s="271">
        <f>SUM(E76:E84)</f>
        <v>43416634.310000002</v>
      </c>
      <c r="F85" s="272">
        <f>(+D85-E85)/E85</f>
        <v>0.60045302645662391</v>
      </c>
      <c r="G85" s="249">
        <f>D85/C85</f>
        <v>0.11106994791190361</v>
      </c>
      <c r="H85" s="270">
        <f>1-G85</f>
        <v>0.88893005208809639</v>
      </c>
      <c r="I85" s="157"/>
    </row>
    <row r="86" spans="1:9" ht="15.75" thickTop="1" x14ac:dyDescent="0.2">
      <c r="A86" s="167"/>
      <c r="B86" s="168"/>
      <c r="C86" s="226"/>
      <c r="D86" s="226"/>
      <c r="E86" s="226"/>
      <c r="F86" s="166"/>
      <c r="G86" s="241"/>
      <c r="H86" s="242"/>
      <c r="I86" s="157"/>
    </row>
    <row r="87" spans="1:9" ht="15.75" x14ac:dyDescent="0.25">
      <c r="A87" s="164" t="s">
        <v>60</v>
      </c>
      <c r="B87" s="165">
        <f>DATE(21,7,1)</f>
        <v>7853</v>
      </c>
      <c r="C87" s="226">
        <v>132221883.15000001</v>
      </c>
      <c r="D87" s="226">
        <v>13534455.82</v>
      </c>
      <c r="E87" s="226">
        <v>10751795.77</v>
      </c>
      <c r="F87" s="166">
        <f t="shared" ref="F87:F94" si="21">(+D87-E87)/E87</f>
        <v>0.25880886407499171</v>
      </c>
      <c r="G87" s="241">
        <f t="shared" ref="G87:G94" si="22">D87/C87</f>
        <v>0.10236169306895854</v>
      </c>
      <c r="H87" s="242">
        <f t="shared" ref="H87:H94" si="23">1-G87</f>
        <v>0.89763830693104141</v>
      </c>
      <c r="I87" s="157"/>
    </row>
    <row r="88" spans="1:9" ht="15.75" x14ac:dyDescent="0.25">
      <c r="A88" s="164"/>
      <c r="B88" s="165">
        <f>DATE(21,8,1)</f>
        <v>7884</v>
      </c>
      <c r="C88" s="226">
        <v>113338502.33</v>
      </c>
      <c r="D88" s="226">
        <v>11799607.16</v>
      </c>
      <c r="E88" s="226">
        <v>11312353.68</v>
      </c>
      <c r="F88" s="166">
        <f t="shared" si="21"/>
        <v>4.3072687946581284E-2</v>
      </c>
      <c r="G88" s="241">
        <f t="shared" si="22"/>
        <v>0.104109432517856</v>
      </c>
      <c r="H88" s="242">
        <f t="shared" si="23"/>
        <v>0.89589056748214402</v>
      </c>
      <c r="I88" s="157"/>
    </row>
    <row r="89" spans="1:9" ht="15.75" x14ac:dyDescent="0.25">
      <c r="A89" s="164"/>
      <c r="B89" s="165">
        <f>DATE(21,9,1)</f>
        <v>7915</v>
      </c>
      <c r="C89" s="226">
        <v>111073381.84999999</v>
      </c>
      <c r="D89" s="226">
        <v>11262305.48</v>
      </c>
      <c r="E89" s="226">
        <v>10956999.039999999</v>
      </c>
      <c r="F89" s="166">
        <f t="shared" si="21"/>
        <v>2.7864056470703256E-2</v>
      </c>
      <c r="G89" s="241">
        <f t="shared" si="22"/>
        <v>0.10139517940679323</v>
      </c>
      <c r="H89" s="242">
        <f t="shared" si="23"/>
        <v>0.89860482059320679</v>
      </c>
      <c r="I89" s="157"/>
    </row>
    <row r="90" spans="1:9" ht="15.75" x14ac:dyDescent="0.25">
      <c r="A90" s="164"/>
      <c r="B90" s="165">
        <f>DATE(21,10,1)</f>
        <v>7945</v>
      </c>
      <c r="C90" s="226">
        <v>116016618.26000001</v>
      </c>
      <c r="D90" s="226">
        <v>11850584.039999999</v>
      </c>
      <c r="E90" s="226">
        <v>10410650.699999999</v>
      </c>
      <c r="F90" s="166">
        <f t="shared" si="21"/>
        <v>0.13831348121208215</v>
      </c>
      <c r="G90" s="241">
        <f t="shared" si="22"/>
        <v>0.10214557377842327</v>
      </c>
      <c r="H90" s="242">
        <f t="shared" si="23"/>
        <v>0.89785442622157674</v>
      </c>
      <c r="I90" s="157"/>
    </row>
    <row r="91" spans="1:9" ht="15.75" x14ac:dyDescent="0.25">
      <c r="A91" s="164"/>
      <c r="B91" s="165">
        <f>DATE(21,11,1)</f>
        <v>7976</v>
      </c>
      <c r="C91" s="226">
        <v>102366140.34999999</v>
      </c>
      <c r="D91" s="226">
        <v>10537202.82</v>
      </c>
      <c r="E91" s="226">
        <v>9890840.5199999996</v>
      </c>
      <c r="F91" s="166">
        <f t="shared" si="21"/>
        <v>6.5349582645985352E-2</v>
      </c>
      <c r="G91" s="241">
        <f t="shared" si="22"/>
        <v>0.10293640830817942</v>
      </c>
      <c r="H91" s="242">
        <f t="shared" si="23"/>
        <v>0.89706359169182059</v>
      </c>
      <c r="I91" s="157"/>
    </row>
    <row r="92" spans="1:9" ht="15.75" x14ac:dyDescent="0.25">
      <c r="A92" s="164"/>
      <c r="B92" s="165">
        <f>DATE(21,12,1)</f>
        <v>8006</v>
      </c>
      <c r="C92" s="226">
        <v>112755235.06999999</v>
      </c>
      <c r="D92" s="226">
        <v>11616287.57</v>
      </c>
      <c r="E92" s="226">
        <v>12890871.199999999</v>
      </c>
      <c r="F92" s="166">
        <f t="shared" si="21"/>
        <v>-9.8874902264169631E-2</v>
      </c>
      <c r="G92" s="241">
        <f t="shared" si="22"/>
        <v>0.1030221573551636</v>
      </c>
      <c r="H92" s="242">
        <f t="shared" si="23"/>
        <v>0.89697784264483638</v>
      </c>
      <c r="I92" s="157"/>
    </row>
    <row r="93" spans="1:9" ht="15.75" x14ac:dyDescent="0.25">
      <c r="A93" s="164"/>
      <c r="B93" s="165">
        <f>DATE(22,1,1)</f>
        <v>8037</v>
      </c>
      <c r="C93" s="226">
        <v>96959535.670000002</v>
      </c>
      <c r="D93" s="226">
        <v>9767141.9800000004</v>
      </c>
      <c r="E93" s="226">
        <v>14761434.99</v>
      </c>
      <c r="F93" s="166">
        <f t="shared" si="21"/>
        <v>-0.33833384175612591</v>
      </c>
      <c r="G93" s="241">
        <f t="shared" si="22"/>
        <v>0.10073420744548828</v>
      </c>
      <c r="H93" s="242">
        <f t="shared" si="23"/>
        <v>0.89926579255451178</v>
      </c>
      <c r="I93" s="157"/>
    </row>
    <row r="94" spans="1:9" ht="15.75" x14ac:dyDescent="0.25">
      <c r="A94" s="164"/>
      <c r="B94" s="165">
        <f>DATE(22,2,1)</f>
        <v>8068</v>
      </c>
      <c r="C94" s="226">
        <v>100151252.09</v>
      </c>
      <c r="D94" s="226">
        <v>10322075.949999999</v>
      </c>
      <c r="E94" s="226">
        <v>10549814.82</v>
      </c>
      <c r="F94" s="166">
        <f t="shared" si="21"/>
        <v>-2.158700165696378E-2</v>
      </c>
      <c r="G94" s="241">
        <f t="shared" si="22"/>
        <v>0.10306487172745639</v>
      </c>
      <c r="H94" s="242">
        <f t="shared" si="23"/>
        <v>0.89693512827254362</v>
      </c>
      <c r="I94" s="157"/>
    </row>
    <row r="95" spans="1:9" ht="15.75" thickBot="1" x14ac:dyDescent="0.25">
      <c r="A95" s="167"/>
      <c r="B95" s="165"/>
      <c r="C95" s="226"/>
      <c r="D95" s="226"/>
      <c r="E95" s="226"/>
      <c r="F95" s="166"/>
      <c r="G95" s="241"/>
      <c r="H95" s="242"/>
      <c r="I95" s="157"/>
    </row>
    <row r="96" spans="1:9" ht="17.25" thickTop="1" thickBot="1" x14ac:dyDescent="0.3">
      <c r="A96" s="174" t="s">
        <v>14</v>
      </c>
      <c r="B96" s="175"/>
      <c r="C96" s="228">
        <f>SUM(C87:C95)</f>
        <v>884882548.76999998</v>
      </c>
      <c r="D96" s="230">
        <f>SUM(D87:D95)</f>
        <v>90689660.820000008</v>
      </c>
      <c r="E96" s="271">
        <f>SUM(E87:E95)</f>
        <v>91524760.719999999</v>
      </c>
      <c r="F96" s="176">
        <f>(+D96-E96)/E96</f>
        <v>-9.1243057444836892E-3</v>
      </c>
      <c r="G96" s="249">
        <f>D96/C96</f>
        <v>0.10248779450567762</v>
      </c>
      <c r="H96" s="270">
        <f>1-G96</f>
        <v>0.89751220549432242</v>
      </c>
      <c r="I96" s="157"/>
    </row>
    <row r="97" spans="1:9" ht="15.75" thickTop="1" x14ac:dyDescent="0.2">
      <c r="A97" s="167"/>
      <c r="B97" s="179"/>
      <c r="C97" s="229"/>
      <c r="D97" s="229"/>
      <c r="E97" s="229"/>
      <c r="F97" s="180"/>
      <c r="G97" s="247"/>
      <c r="H97" s="248"/>
      <c r="I97" s="157"/>
    </row>
    <row r="98" spans="1:9" ht="15.75" x14ac:dyDescent="0.25">
      <c r="A98" s="164" t="s">
        <v>16</v>
      </c>
      <c r="B98" s="165">
        <f>DATE(21,7,1)</f>
        <v>7853</v>
      </c>
      <c r="C98" s="226">
        <v>163880399.77000001</v>
      </c>
      <c r="D98" s="226">
        <v>16148799.359999999</v>
      </c>
      <c r="E98" s="226">
        <v>12124639.109999999</v>
      </c>
      <c r="F98" s="166">
        <f t="shared" ref="F98:F105" si="24">(+D98-E98)/E98</f>
        <v>0.33189938384895978</v>
      </c>
      <c r="G98" s="241">
        <f t="shared" ref="G98:G105" si="25">D98/C98</f>
        <v>9.854015112645706E-2</v>
      </c>
      <c r="H98" s="242">
        <f t="shared" ref="H98:H105" si="26">1-G98</f>
        <v>0.90145984887354291</v>
      </c>
      <c r="I98" s="157"/>
    </row>
    <row r="99" spans="1:9" ht="15.75" x14ac:dyDescent="0.25">
      <c r="A99" s="164"/>
      <c r="B99" s="165">
        <f>DATE(21,8,1)</f>
        <v>7884</v>
      </c>
      <c r="C99" s="226">
        <v>145844596.15000001</v>
      </c>
      <c r="D99" s="226">
        <v>14007269.199999999</v>
      </c>
      <c r="E99" s="226">
        <v>12772714.18</v>
      </c>
      <c r="F99" s="166">
        <f t="shared" si="24"/>
        <v>9.6655652244462861E-2</v>
      </c>
      <c r="G99" s="241">
        <f t="shared" si="25"/>
        <v>9.6042428514757139E-2</v>
      </c>
      <c r="H99" s="242">
        <f t="shared" si="26"/>
        <v>0.90395757148524281</v>
      </c>
      <c r="I99" s="157"/>
    </row>
    <row r="100" spans="1:9" ht="15.75" x14ac:dyDescent="0.25">
      <c r="A100" s="164"/>
      <c r="B100" s="165">
        <f>DATE(21,9,1)</f>
        <v>7915</v>
      </c>
      <c r="C100" s="226">
        <v>143094986.72999999</v>
      </c>
      <c r="D100" s="226">
        <v>13534117.949999999</v>
      </c>
      <c r="E100" s="226">
        <v>12144964.720000001</v>
      </c>
      <c r="F100" s="166">
        <f t="shared" si="24"/>
        <v>0.11438100167655312</v>
      </c>
      <c r="G100" s="241">
        <f t="shared" si="25"/>
        <v>9.4581356477127787E-2</v>
      </c>
      <c r="H100" s="242">
        <f t="shared" si="26"/>
        <v>0.90541864352287216</v>
      </c>
      <c r="I100" s="157"/>
    </row>
    <row r="101" spans="1:9" ht="15.75" x14ac:dyDescent="0.25">
      <c r="A101" s="164"/>
      <c r="B101" s="165">
        <f>DATE(21,10,1)</f>
        <v>7945</v>
      </c>
      <c r="C101" s="226">
        <v>155067360.19</v>
      </c>
      <c r="D101" s="226">
        <v>14717532.77</v>
      </c>
      <c r="E101" s="226">
        <v>12789406.33</v>
      </c>
      <c r="F101" s="166">
        <f t="shared" si="24"/>
        <v>0.15075965140596165</v>
      </c>
      <c r="G101" s="241">
        <f t="shared" si="25"/>
        <v>9.4910577906059598E-2</v>
      </c>
      <c r="H101" s="242">
        <f t="shared" si="26"/>
        <v>0.90508942209394039</v>
      </c>
      <c r="I101" s="157"/>
    </row>
    <row r="102" spans="1:9" ht="15.75" x14ac:dyDescent="0.25">
      <c r="A102" s="164"/>
      <c r="B102" s="165">
        <f>DATE(21,11,1)</f>
        <v>7976</v>
      </c>
      <c r="C102" s="226">
        <v>143453865.59</v>
      </c>
      <c r="D102" s="226">
        <v>13812980.33</v>
      </c>
      <c r="E102" s="226">
        <v>11020143.83</v>
      </c>
      <c r="F102" s="166">
        <f t="shared" si="24"/>
        <v>0.25343013150128729</v>
      </c>
      <c r="G102" s="241">
        <f t="shared" si="25"/>
        <v>9.6288658888275272E-2</v>
      </c>
      <c r="H102" s="242">
        <f t="shared" si="26"/>
        <v>0.90371134111172469</v>
      </c>
      <c r="I102" s="157"/>
    </row>
    <row r="103" spans="1:9" ht="15.75" x14ac:dyDescent="0.25">
      <c r="A103" s="164"/>
      <c r="B103" s="165">
        <f>DATE(21,12,1)</f>
        <v>8006</v>
      </c>
      <c r="C103" s="226">
        <v>153813418.13999999</v>
      </c>
      <c r="D103" s="226">
        <v>14881396.939999999</v>
      </c>
      <c r="E103" s="226">
        <v>12188714.869999999</v>
      </c>
      <c r="F103" s="166">
        <f t="shared" si="24"/>
        <v>0.22091599473111642</v>
      </c>
      <c r="G103" s="241">
        <f t="shared" si="25"/>
        <v>9.6749666706288567E-2</v>
      </c>
      <c r="H103" s="242">
        <f t="shared" si="26"/>
        <v>0.9032503332937114</v>
      </c>
      <c r="I103" s="157"/>
    </row>
    <row r="104" spans="1:9" ht="15.75" x14ac:dyDescent="0.25">
      <c r="A104" s="164"/>
      <c r="B104" s="165">
        <f>DATE(22,1,1)</f>
        <v>8037</v>
      </c>
      <c r="C104" s="226">
        <v>138402939.88</v>
      </c>
      <c r="D104" s="226">
        <v>13218577.91</v>
      </c>
      <c r="E104" s="226">
        <v>13712800.539999999</v>
      </c>
      <c r="F104" s="166">
        <f t="shared" si="24"/>
        <v>-3.6040969790114001E-2</v>
      </c>
      <c r="G104" s="241">
        <f t="shared" si="25"/>
        <v>9.5507927226552783E-2</v>
      </c>
      <c r="H104" s="242">
        <f t="shared" si="26"/>
        <v>0.90449207277344723</v>
      </c>
      <c r="I104" s="157"/>
    </row>
    <row r="105" spans="1:9" ht="15.75" x14ac:dyDescent="0.25">
      <c r="A105" s="164"/>
      <c r="B105" s="165">
        <f>DATE(22,2,1)</f>
        <v>8068</v>
      </c>
      <c r="C105" s="226">
        <v>143362877.96000001</v>
      </c>
      <c r="D105" s="226">
        <v>14111261.68</v>
      </c>
      <c r="E105" s="226">
        <v>11801663.460000001</v>
      </c>
      <c r="F105" s="166">
        <f t="shared" si="24"/>
        <v>0.19570107449920443</v>
      </c>
      <c r="G105" s="241">
        <f t="shared" si="25"/>
        <v>9.8430373893144171E-2</v>
      </c>
      <c r="H105" s="242">
        <f t="shared" si="26"/>
        <v>0.90156962610685587</v>
      </c>
      <c r="I105" s="157"/>
    </row>
    <row r="106" spans="1:9" ht="15.75" customHeight="1" thickBot="1" x14ac:dyDescent="0.3">
      <c r="A106" s="164"/>
      <c r="B106" s="165"/>
      <c r="C106" s="226"/>
      <c r="D106" s="226"/>
      <c r="E106" s="226"/>
      <c r="F106" s="166"/>
      <c r="G106" s="241"/>
      <c r="H106" s="242"/>
      <c r="I106" s="157"/>
    </row>
    <row r="107" spans="1:9" ht="17.25" thickTop="1" thickBot="1" x14ac:dyDescent="0.3">
      <c r="A107" s="174" t="s">
        <v>14</v>
      </c>
      <c r="B107" s="181"/>
      <c r="C107" s="228">
        <f>SUM(C98:C106)</f>
        <v>1186920444.4099998</v>
      </c>
      <c r="D107" s="228">
        <f>SUM(D98:D106)</f>
        <v>114431936.13999999</v>
      </c>
      <c r="E107" s="228">
        <f>SUM(E98:E106)</f>
        <v>98555047.039999992</v>
      </c>
      <c r="F107" s="176">
        <f>(+D107-E107)/E107</f>
        <v>0.16109666198582534</v>
      </c>
      <c r="G107" s="245">
        <f>D107/C107</f>
        <v>9.6410788674958212E-2</v>
      </c>
      <c r="H107" s="246">
        <f>1-G107</f>
        <v>0.90358921132504177</v>
      </c>
      <c r="I107" s="157"/>
    </row>
    <row r="108" spans="1:9" ht="15.75" thickTop="1" x14ac:dyDescent="0.2">
      <c r="A108" s="171"/>
      <c r="B108" s="172"/>
      <c r="C108" s="227"/>
      <c r="D108" s="227"/>
      <c r="E108" s="227"/>
      <c r="F108" s="173"/>
      <c r="G108" s="243"/>
      <c r="H108" s="244"/>
      <c r="I108" s="157"/>
    </row>
    <row r="109" spans="1:9" ht="15.75" x14ac:dyDescent="0.25">
      <c r="A109" s="164" t="s">
        <v>54</v>
      </c>
      <c r="B109" s="165">
        <f>DATE(21,7,1)</f>
        <v>7853</v>
      </c>
      <c r="C109" s="226">
        <v>200357166.28999999</v>
      </c>
      <c r="D109" s="226">
        <v>17635283.719999999</v>
      </c>
      <c r="E109" s="226">
        <v>13113665.15</v>
      </c>
      <c r="F109" s="166">
        <f t="shared" ref="F109:F116" si="27">(+D109-E109)/E109</f>
        <v>0.34480204567370687</v>
      </c>
      <c r="G109" s="241">
        <f t="shared" ref="G109:G116" si="28">D109/C109</f>
        <v>8.80192310889166E-2</v>
      </c>
      <c r="H109" s="242">
        <f t="shared" ref="H109:H116" si="29">1-G109</f>
        <v>0.91198076891108337</v>
      </c>
      <c r="I109" s="157"/>
    </row>
    <row r="110" spans="1:9" ht="15.75" x14ac:dyDescent="0.25">
      <c r="A110" s="164"/>
      <c r="B110" s="165">
        <f>DATE(21,8,1)</f>
        <v>7884</v>
      </c>
      <c r="C110" s="226">
        <v>187880345.88999999</v>
      </c>
      <c r="D110" s="226">
        <v>17152915.09</v>
      </c>
      <c r="E110" s="226">
        <v>13163225.939999999</v>
      </c>
      <c r="F110" s="166">
        <f t="shared" si="27"/>
        <v>0.30309357054156899</v>
      </c>
      <c r="G110" s="241">
        <f t="shared" si="28"/>
        <v>9.1297016772806411E-2</v>
      </c>
      <c r="H110" s="242">
        <f t="shared" si="29"/>
        <v>0.90870298322719356</v>
      </c>
      <c r="I110" s="157"/>
    </row>
    <row r="111" spans="1:9" ht="15.75" x14ac:dyDescent="0.25">
      <c r="A111" s="164"/>
      <c r="B111" s="165">
        <f>DATE(21,9,1)</f>
        <v>7915</v>
      </c>
      <c r="C111" s="226">
        <v>188989871.88999999</v>
      </c>
      <c r="D111" s="226">
        <v>16762718.67</v>
      </c>
      <c r="E111" s="226">
        <v>13632742.51</v>
      </c>
      <c r="F111" s="166">
        <f t="shared" si="27"/>
        <v>0.22959255320080127</v>
      </c>
      <c r="G111" s="241">
        <f t="shared" si="28"/>
        <v>8.869638622622382E-2</v>
      </c>
      <c r="H111" s="242">
        <f t="shared" si="29"/>
        <v>0.91130361377377622</v>
      </c>
      <c r="I111" s="157"/>
    </row>
    <row r="112" spans="1:9" ht="15.75" x14ac:dyDescent="0.25">
      <c r="A112" s="164"/>
      <c r="B112" s="165">
        <f>DATE(21,10,1)</f>
        <v>7945</v>
      </c>
      <c r="C112" s="226">
        <v>196390014.61000001</v>
      </c>
      <c r="D112" s="226">
        <v>18368300.02</v>
      </c>
      <c r="E112" s="226">
        <v>14284849.609999999</v>
      </c>
      <c r="F112" s="166">
        <f t="shared" si="27"/>
        <v>0.2858588309632194</v>
      </c>
      <c r="G112" s="241">
        <f t="shared" si="28"/>
        <v>9.3529704432664673E-2</v>
      </c>
      <c r="H112" s="242">
        <f t="shared" si="29"/>
        <v>0.90647029556733538</v>
      </c>
      <c r="I112" s="157"/>
    </row>
    <row r="113" spans="1:9" ht="15.75" x14ac:dyDescent="0.25">
      <c r="A113" s="164"/>
      <c r="B113" s="165">
        <f>DATE(21,11,1)</f>
        <v>7976</v>
      </c>
      <c r="C113" s="226">
        <v>186554423.28999999</v>
      </c>
      <c r="D113" s="226">
        <v>17099113.550000001</v>
      </c>
      <c r="E113" s="226">
        <v>12348288.83</v>
      </c>
      <c r="F113" s="166">
        <f t="shared" si="27"/>
        <v>0.38473547107660266</v>
      </c>
      <c r="G113" s="241">
        <f t="shared" si="28"/>
        <v>9.1657508026059098E-2</v>
      </c>
      <c r="H113" s="242">
        <f t="shared" si="29"/>
        <v>0.9083424919739409</v>
      </c>
      <c r="I113" s="157"/>
    </row>
    <row r="114" spans="1:9" ht="15.75" x14ac:dyDescent="0.25">
      <c r="A114" s="164"/>
      <c r="B114" s="165">
        <f>DATE(21,12,1)</f>
        <v>8006</v>
      </c>
      <c r="C114" s="226">
        <v>206769172.86000001</v>
      </c>
      <c r="D114" s="226">
        <v>18695924.300000001</v>
      </c>
      <c r="E114" s="226">
        <v>12123166.43</v>
      </c>
      <c r="F114" s="166">
        <f t="shared" si="27"/>
        <v>0.54216511073666762</v>
      </c>
      <c r="G114" s="241">
        <f t="shared" si="28"/>
        <v>9.0419302071971352E-2</v>
      </c>
      <c r="H114" s="242">
        <f t="shared" si="29"/>
        <v>0.90958069792802865</v>
      </c>
      <c r="I114" s="157"/>
    </row>
    <row r="115" spans="1:9" ht="15.75" x14ac:dyDescent="0.25">
      <c r="A115" s="164"/>
      <c r="B115" s="165">
        <f>DATE(22,1,1)</f>
        <v>8037</v>
      </c>
      <c r="C115" s="226">
        <v>188729424.12</v>
      </c>
      <c r="D115" s="226">
        <v>16268714.699999999</v>
      </c>
      <c r="E115" s="226">
        <v>13355551.67</v>
      </c>
      <c r="F115" s="166">
        <f t="shared" si="27"/>
        <v>0.21812375122951394</v>
      </c>
      <c r="G115" s="241">
        <f t="shared" si="28"/>
        <v>8.6201262870679071E-2</v>
      </c>
      <c r="H115" s="242">
        <f t="shared" si="29"/>
        <v>0.91379873712932091</v>
      </c>
      <c r="I115" s="157"/>
    </row>
    <row r="116" spans="1:9" ht="15.75" x14ac:dyDescent="0.25">
      <c r="A116" s="164"/>
      <c r="B116" s="165">
        <f>DATE(22,2,1)</f>
        <v>8068</v>
      </c>
      <c r="C116" s="226">
        <v>187783165.44</v>
      </c>
      <c r="D116" s="226">
        <v>16850587.23</v>
      </c>
      <c r="E116" s="226">
        <v>11342744.4</v>
      </c>
      <c r="F116" s="166">
        <f t="shared" si="27"/>
        <v>0.4855829097233294</v>
      </c>
      <c r="G116" s="241">
        <f t="shared" si="28"/>
        <v>8.9734280442642006E-2</v>
      </c>
      <c r="H116" s="242">
        <f t="shared" si="29"/>
        <v>0.91026571955735802</v>
      </c>
      <c r="I116" s="157"/>
    </row>
    <row r="117" spans="1:9" ht="15.75" thickBot="1" x14ac:dyDescent="0.25">
      <c r="A117" s="167"/>
      <c r="B117" s="168"/>
      <c r="C117" s="226"/>
      <c r="D117" s="226"/>
      <c r="E117" s="226"/>
      <c r="F117" s="166"/>
      <c r="G117" s="241"/>
      <c r="H117" s="242"/>
      <c r="I117" s="157"/>
    </row>
    <row r="118" spans="1:9" ht="17.25" thickTop="1" thickBot="1" x14ac:dyDescent="0.3">
      <c r="A118" s="174" t="s">
        <v>14</v>
      </c>
      <c r="B118" s="175"/>
      <c r="C118" s="228">
        <f>SUM(C109:C117)</f>
        <v>1543453584.3899999</v>
      </c>
      <c r="D118" s="228">
        <f>SUM(D109:D117)</f>
        <v>138833557.28</v>
      </c>
      <c r="E118" s="228">
        <f>SUM(E109:E117)</f>
        <v>103364234.54000001</v>
      </c>
      <c r="F118" s="176">
        <f>(+D118-E118)/E118</f>
        <v>0.34314889379144037</v>
      </c>
      <c r="G118" s="249">
        <f>D118/C118</f>
        <v>8.9949939981427737E-2</v>
      </c>
      <c r="H118" s="270">
        <f>1-G118</f>
        <v>0.91005006001857225</v>
      </c>
      <c r="I118" s="157"/>
    </row>
    <row r="119" spans="1:9" ht="15.75" thickTop="1" x14ac:dyDescent="0.2">
      <c r="A119" s="167"/>
      <c r="B119" s="168"/>
      <c r="C119" s="226"/>
      <c r="D119" s="226"/>
      <c r="E119" s="226"/>
      <c r="F119" s="166"/>
      <c r="G119" s="241"/>
      <c r="H119" s="242"/>
      <c r="I119" s="157"/>
    </row>
    <row r="120" spans="1:9" ht="15.75" x14ac:dyDescent="0.25">
      <c r="A120" s="164" t="s">
        <v>55</v>
      </c>
      <c r="B120" s="165">
        <f>DATE(21,7,1)</f>
        <v>7853</v>
      </c>
      <c r="C120" s="226">
        <v>32852563.390000001</v>
      </c>
      <c r="D120" s="226">
        <v>3540868.12</v>
      </c>
      <c r="E120" s="226">
        <v>2784731.95</v>
      </c>
      <c r="F120" s="166">
        <f t="shared" ref="F120:F127" si="30">(+D120-E120)/E120</f>
        <v>0.27152924718660976</v>
      </c>
      <c r="G120" s="241">
        <f t="shared" ref="G120:G127" si="31">D120/C120</f>
        <v>0.10778057340505143</v>
      </c>
      <c r="H120" s="242">
        <f t="shared" ref="H120:H127" si="32">1-G120</f>
        <v>0.89221942659494857</v>
      </c>
      <c r="I120" s="157"/>
    </row>
    <row r="121" spans="1:9" ht="15.75" x14ac:dyDescent="0.25">
      <c r="A121" s="164"/>
      <c r="B121" s="165">
        <f>DATE(21,8,1)</f>
        <v>7884</v>
      </c>
      <c r="C121" s="226">
        <v>29251271.52</v>
      </c>
      <c r="D121" s="226">
        <v>3115295.59</v>
      </c>
      <c r="E121" s="226">
        <v>2961173.82</v>
      </c>
      <c r="F121" s="166">
        <f t="shared" si="30"/>
        <v>5.2047525531615034E-2</v>
      </c>
      <c r="G121" s="241">
        <f t="shared" si="31"/>
        <v>0.10650120244755773</v>
      </c>
      <c r="H121" s="242">
        <f t="shared" si="32"/>
        <v>0.89349879755244221</v>
      </c>
      <c r="I121" s="157"/>
    </row>
    <row r="122" spans="1:9" ht="15.75" x14ac:dyDescent="0.25">
      <c r="A122" s="164"/>
      <c r="B122" s="165">
        <f>DATE(21,9,1)</f>
        <v>7915</v>
      </c>
      <c r="C122" s="226">
        <v>28714079.039999999</v>
      </c>
      <c r="D122" s="226">
        <v>3042841.65</v>
      </c>
      <c r="E122" s="226">
        <v>2707604.99</v>
      </c>
      <c r="F122" s="166">
        <f t="shared" si="30"/>
        <v>0.1238129864725946</v>
      </c>
      <c r="G122" s="241">
        <f t="shared" si="31"/>
        <v>0.1059703724351105</v>
      </c>
      <c r="H122" s="242">
        <f t="shared" si="32"/>
        <v>0.89402962756488946</v>
      </c>
      <c r="I122" s="157"/>
    </row>
    <row r="123" spans="1:9" ht="15.75" x14ac:dyDescent="0.25">
      <c r="A123" s="164"/>
      <c r="B123" s="165">
        <f>DATE(21,10,1)</f>
        <v>7945</v>
      </c>
      <c r="C123" s="226">
        <v>30764540.789999999</v>
      </c>
      <c r="D123" s="226">
        <v>3415416.93</v>
      </c>
      <c r="E123" s="226">
        <v>2777127.87</v>
      </c>
      <c r="F123" s="166">
        <f t="shared" si="30"/>
        <v>0.22983783602301325</v>
      </c>
      <c r="G123" s="241">
        <f t="shared" si="31"/>
        <v>0.1110179720644548</v>
      </c>
      <c r="H123" s="242">
        <f t="shared" si="32"/>
        <v>0.88898202793554515</v>
      </c>
      <c r="I123" s="157"/>
    </row>
    <row r="124" spans="1:9" ht="15.75" x14ac:dyDescent="0.25">
      <c r="A124" s="164"/>
      <c r="B124" s="165">
        <f>DATE(21,11,1)</f>
        <v>7976</v>
      </c>
      <c r="C124" s="226">
        <v>26364208.16</v>
      </c>
      <c r="D124" s="226">
        <v>3126811.29</v>
      </c>
      <c r="E124" s="226">
        <v>2545068.2999999998</v>
      </c>
      <c r="F124" s="166">
        <f t="shared" si="30"/>
        <v>0.22857657297448569</v>
      </c>
      <c r="G124" s="241">
        <f t="shared" si="31"/>
        <v>0.11860061455378829</v>
      </c>
      <c r="H124" s="242">
        <f t="shared" si="32"/>
        <v>0.88139938544621166</v>
      </c>
      <c r="I124" s="157"/>
    </row>
    <row r="125" spans="1:9" ht="15.75" x14ac:dyDescent="0.25">
      <c r="A125" s="164"/>
      <c r="B125" s="165">
        <f>DATE(21,12,1)</f>
        <v>8006</v>
      </c>
      <c r="C125" s="226">
        <v>28863732.34</v>
      </c>
      <c r="D125" s="226">
        <v>3080901.79</v>
      </c>
      <c r="E125" s="226">
        <v>3275319.33</v>
      </c>
      <c r="F125" s="166">
        <f t="shared" si="30"/>
        <v>-5.9358346595170017E-2</v>
      </c>
      <c r="G125" s="241">
        <f t="shared" si="31"/>
        <v>0.10673954960878078</v>
      </c>
      <c r="H125" s="242">
        <f t="shared" si="32"/>
        <v>0.89326045039121926</v>
      </c>
      <c r="I125" s="157"/>
    </row>
    <row r="126" spans="1:9" ht="15.75" x14ac:dyDescent="0.25">
      <c r="A126" s="164"/>
      <c r="B126" s="165">
        <f>DATE(22,1,1)</f>
        <v>8037</v>
      </c>
      <c r="C126" s="226">
        <v>25072068.109999999</v>
      </c>
      <c r="D126" s="226">
        <v>2697598.25</v>
      </c>
      <c r="E126" s="226">
        <v>3376789.13</v>
      </c>
      <c r="F126" s="166">
        <f t="shared" si="30"/>
        <v>-0.20113511796337721</v>
      </c>
      <c r="G126" s="241">
        <f t="shared" si="31"/>
        <v>0.10759376682309117</v>
      </c>
      <c r="H126" s="242">
        <f t="shared" si="32"/>
        <v>0.89240623317690881</v>
      </c>
      <c r="I126" s="157"/>
    </row>
    <row r="127" spans="1:9" ht="15.75" x14ac:dyDescent="0.25">
      <c r="A127" s="164"/>
      <c r="B127" s="165">
        <f>DATE(22,2,1)</f>
        <v>8068</v>
      </c>
      <c r="C127" s="226">
        <v>25705348.329999998</v>
      </c>
      <c r="D127" s="226">
        <v>2911358.37</v>
      </c>
      <c r="E127" s="226">
        <v>2596549.7000000002</v>
      </c>
      <c r="F127" s="166">
        <f t="shared" si="30"/>
        <v>0.12124114936063034</v>
      </c>
      <c r="G127" s="241">
        <f t="shared" si="31"/>
        <v>0.11325885697499903</v>
      </c>
      <c r="H127" s="242">
        <f t="shared" si="32"/>
        <v>0.88674114302500096</v>
      </c>
      <c r="I127" s="157"/>
    </row>
    <row r="128" spans="1:9" ht="15.75" thickBot="1" x14ac:dyDescent="0.25">
      <c r="A128" s="167"/>
      <c r="B128" s="168"/>
      <c r="C128" s="226"/>
      <c r="D128" s="226"/>
      <c r="E128" s="226"/>
      <c r="F128" s="166"/>
      <c r="G128" s="241"/>
      <c r="H128" s="242"/>
      <c r="I128" s="157"/>
    </row>
    <row r="129" spans="1:9" ht="17.25" thickTop="1" thickBot="1" x14ac:dyDescent="0.3">
      <c r="A129" s="182" t="s">
        <v>14</v>
      </c>
      <c r="B129" s="183"/>
      <c r="C129" s="230">
        <f>SUM(C120:C128)</f>
        <v>227587811.67999995</v>
      </c>
      <c r="D129" s="230">
        <f>SUM(D120:D128)</f>
        <v>24931091.989999998</v>
      </c>
      <c r="E129" s="230">
        <f>SUM(E120:E128)</f>
        <v>23024365.089999996</v>
      </c>
      <c r="F129" s="176">
        <f>(+D129-E129)/E129</f>
        <v>8.2813441002468166E-2</v>
      </c>
      <c r="G129" s="249">
        <f>D129/C129</f>
        <v>0.10954493479226551</v>
      </c>
      <c r="H129" s="246">
        <f>1-G129</f>
        <v>0.89045506520773454</v>
      </c>
      <c r="I129" s="157"/>
    </row>
    <row r="130" spans="1:9" ht="15.75" thickTop="1" x14ac:dyDescent="0.2">
      <c r="A130" s="167"/>
      <c r="B130" s="168"/>
      <c r="C130" s="226"/>
      <c r="D130" s="226"/>
      <c r="E130" s="226"/>
      <c r="F130" s="166"/>
      <c r="G130" s="241"/>
      <c r="H130" s="242"/>
      <c r="I130" s="157"/>
    </row>
    <row r="131" spans="1:9" ht="15.75" x14ac:dyDescent="0.25">
      <c r="A131" s="164" t="s">
        <v>37</v>
      </c>
      <c r="B131" s="165">
        <f>DATE(21,7,1)</f>
        <v>7853</v>
      </c>
      <c r="C131" s="226">
        <v>233748610.44</v>
      </c>
      <c r="D131" s="226">
        <v>21441670.739999998</v>
      </c>
      <c r="E131" s="226">
        <v>17781520.260000002</v>
      </c>
      <c r="F131" s="166">
        <f t="shared" ref="F131:F138" si="33">(+D131-E131)/E131</f>
        <v>0.20584013214177202</v>
      </c>
      <c r="G131" s="241">
        <f t="shared" ref="G131:G138" si="34">D131/C131</f>
        <v>9.1729617984205203E-2</v>
      </c>
      <c r="H131" s="242">
        <f t="shared" ref="H131:H138" si="35">1-G131</f>
        <v>0.9082703820157948</v>
      </c>
      <c r="I131" s="157"/>
    </row>
    <row r="132" spans="1:9" ht="15.75" x14ac:dyDescent="0.25">
      <c r="A132" s="164"/>
      <c r="B132" s="165">
        <f>DATE(21,8,1)</f>
        <v>7884</v>
      </c>
      <c r="C132" s="226">
        <v>213172987.47</v>
      </c>
      <c r="D132" s="226">
        <v>19679228.600000001</v>
      </c>
      <c r="E132" s="226">
        <v>17286123.989999998</v>
      </c>
      <c r="F132" s="166">
        <f t="shared" si="33"/>
        <v>0.13844078703730295</v>
      </c>
      <c r="G132" s="241">
        <f t="shared" si="34"/>
        <v>9.2315770555917526E-2</v>
      </c>
      <c r="H132" s="242">
        <f t="shared" si="35"/>
        <v>0.90768422944408245</v>
      </c>
      <c r="I132" s="157"/>
    </row>
    <row r="133" spans="1:9" ht="15.75" x14ac:dyDescent="0.25">
      <c r="A133" s="164"/>
      <c r="B133" s="165">
        <f>DATE(21,9,1)</f>
        <v>7915</v>
      </c>
      <c r="C133" s="226">
        <v>211086159.19</v>
      </c>
      <c r="D133" s="226">
        <v>19466571.379999999</v>
      </c>
      <c r="E133" s="226">
        <v>16702603.76</v>
      </c>
      <c r="F133" s="166">
        <f t="shared" si="33"/>
        <v>0.16548124230901345</v>
      </c>
      <c r="G133" s="241">
        <f t="shared" si="34"/>
        <v>9.2220974860213425E-2</v>
      </c>
      <c r="H133" s="242">
        <f t="shared" si="35"/>
        <v>0.90777902513978659</v>
      </c>
      <c r="I133" s="157"/>
    </row>
    <row r="134" spans="1:9" ht="15.75" x14ac:dyDescent="0.25">
      <c r="A134" s="164"/>
      <c r="B134" s="165">
        <f>DATE(21,10,1)</f>
        <v>7945</v>
      </c>
      <c r="C134" s="226">
        <v>221465276.75</v>
      </c>
      <c r="D134" s="226">
        <v>20992171.949999999</v>
      </c>
      <c r="E134" s="226">
        <v>17754592.84</v>
      </c>
      <c r="F134" s="166">
        <f t="shared" si="33"/>
        <v>0.18235163932939841</v>
      </c>
      <c r="G134" s="241">
        <f t="shared" si="34"/>
        <v>9.4787644627906661E-2</v>
      </c>
      <c r="H134" s="242">
        <f t="shared" si="35"/>
        <v>0.90521235537209332</v>
      </c>
      <c r="I134" s="157"/>
    </row>
    <row r="135" spans="1:9" ht="15.75" x14ac:dyDescent="0.25">
      <c r="A135" s="164"/>
      <c r="B135" s="165">
        <f>DATE(21,11,1)</f>
        <v>7976</v>
      </c>
      <c r="C135" s="226">
        <v>210964434.34999999</v>
      </c>
      <c r="D135" s="226">
        <v>19425579.760000002</v>
      </c>
      <c r="E135" s="226">
        <v>15307588.33</v>
      </c>
      <c r="F135" s="166">
        <f t="shared" si="33"/>
        <v>0.26901634282452652</v>
      </c>
      <c r="G135" s="241">
        <f t="shared" si="34"/>
        <v>9.2079879814111434E-2</v>
      </c>
      <c r="H135" s="242">
        <f t="shared" si="35"/>
        <v>0.90792012018588852</v>
      </c>
      <c r="I135" s="157"/>
    </row>
    <row r="136" spans="1:9" ht="15.75" x14ac:dyDescent="0.25">
      <c r="A136" s="164"/>
      <c r="B136" s="165">
        <f>DATE(21,12,1)</f>
        <v>8006</v>
      </c>
      <c r="C136" s="226">
        <v>232501845.03</v>
      </c>
      <c r="D136" s="226">
        <v>21621662.719999999</v>
      </c>
      <c r="E136" s="226">
        <v>19390114.289999999</v>
      </c>
      <c r="F136" s="166">
        <f t="shared" si="33"/>
        <v>0.11508691473525089</v>
      </c>
      <c r="G136" s="241">
        <f t="shared" si="34"/>
        <v>9.2995660818132986E-2</v>
      </c>
      <c r="H136" s="242">
        <f t="shared" si="35"/>
        <v>0.90700433918186696</v>
      </c>
      <c r="I136" s="157"/>
    </row>
    <row r="137" spans="1:9" ht="15.75" x14ac:dyDescent="0.25">
      <c r="A137" s="164"/>
      <c r="B137" s="165">
        <f>DATE(22,1,1)</f>
        <v>8037</v>
      </c>
      <c r="C137" s="226">
        <v>205128645.43000001</v>
      </c>
      <c r="D137" s="226">
        <v>18690342.719999999</v>
      </c>
      <c r="E137" s="226">
        <v>21258869.32</v>
      </c>
      <c r="F137" s="166">
        <f t="shared" si="33"/>
        <v>-0.12082141158766017</v>
      </c>
      <c r="G137" s="241">
        <f t="shared" si="34"/>
        <v>9.1115225183788701E-2</v>
      </c>
      <c r="H137" s="242">
        <f t="shared" si="35"/>
        <v>0.90888477481621133</v>
      </c>
      <c r="I137" s="157"/>
    </row>
    <row r="138" spans="1:9" ht="15.75" x14ac:dyDescent="0.25">
      <c r="A138" s="164"/>
      <c r="B138" s="165">
        <f>DATE(22,2,1)</f>
        <v>8068</v>
      </c>
      <c r="C138" s="226">
        <v>199609422.41</v>
      </c>
      <c r="D138" s="226">
        <v>18139556.949999999</v>
      </c>
      <c r="E138" s="226">
        <v>17430403.5</v>
      </c>
      <c r="F138" s="166">
        <f t="shared" si="33"/>
        <v>4.0684855631712674E-2</v>
      </c>
      <c r="G138" s="241">
        <f t="shared" si="34"/>
        <v>9.0875253938369427E-2</v>
      </c>
      <c r="H138" s="242">
        <f t="shared" si="35"/>
        <v>0.90912474606163052</v>
      </c>
      <c r="I138" s="157"/>
    </row>
    <row r="139" spans="1:9" ht="15.75" thickBot="1" x14ac:dyDescent="0.25">
      <c r="A139" s="167"/>
      <c r="B139" s="168"/>
      <c r="C139" s="226"/>
      <c r="D139" s="226"/>
      <c r="E139" s="226"/>
      <c r="F139" s="166"/>
      <c r="G139" s="241"/>
      <c r="H139" s="242"/>
      <c r="I139" s="157"/>
    </row>
    <row r="140" spans="1:9" ht="17.25" thickTop="1" thickBot="1" x14ac:dyDescent="0.3">
      <c r="A140" s="174" t="s">
        <v>14</v>
      </c>
      <c r="B140" s="175"/>
      <c r="C140" s="228">
        <f>SUM(C131:C139)</f>
        <v>1727677381.0699999</v>
      </c>
      <c r="D140" s="228">
        <f>SUM(D131:D139)</f>
        <v>159456784.81999999</v>
      </c>
      <c r="E140" s="228">
        <f>SUM(E131:E139)</f>
        <v>142911816.28999999</v>
      </c>
      <c r="F140" s="176">
        <f>(+D140-E140)/E140</f>
        <v>0.11577047272582811</v>
      </c>
      <c r="G140" s="245">
        <f>D140/C140</f>
        <v>9.2295463590108387E-2</v>
      </c>
      <c r="H140" s="246">
        <f>1-G140</f>
        <v>0.90770453640989157</v>
      </c>
      <c r="I140" s="157"/>
    </row>
    <row r="141" spans="1:9" ht="15.75" thickTop="1" x14ac:dyDescent="0.2">
      <c r="A141" s="167"/>
      <c r="B141" s="168"/>
      <c r="C141" s="226"/>
      <c r="D141" s="226"/>
      <c r="E141" s="226"/>
      <c r="F141" s="166"/>
      <c r="G141" s="241"/>
      <c r="H141" s="242"/>
      <c r="I141" s="157"/>
    </row>
    <row r="142" spans="1:9" ht="15.75" x14ac:dyDescent="0.25">
      <c r="A142" s="164" t="s">
        <v>58</v>
      </c>
      <c r="B142" s="165">
        <f>DATE(21,7,1)</f>
        <v>7853</v>
      </c>
      <c r="C142" s="226">
        <v>34083326.159999996</v>
      </c>
      <c r="D142" s="226">
        <v>3963905.07</v>
      </c>
      <c r="E142" s="226">
        <v>3357321.79</v>
      </c>
      <c r="F142" s="166">
        <f t="shared" ref="F142:F149" si="36">(+D142-E142)/E142</f>
        <v>0.18067475146610829</v>
      </c>
      <c r="G142" s="241">
        <f t="shared" ref="G142:G149" si="37">D142/C142</f>
        <v>0.11630041772894856</v>
      </c>
      <c r="H142" s="242">
        <f t="shared" ref="H142:H149" si="38">1-G142</f>
        <v>0.88369958227105139</v>
      </c>
      <c r="I142" s="157"/>
    </row>
    <row r="143" spans="1:9" ht="15.75" x14ac:dyDescent="0.25">
      <c r="A143" s="164"/>
      <c r="B143" s="165">
        <f>DATE(21,8,1)</f>
        <v>7884</v>
      </c>
      <c r="C143" s="226">
        <v>34540166.32</v>
      </c>
      <c r="D143" s="226">
        <v>3797696.16</v>
      </c>
      <c r="E143" s="226">
        <v>3360444.04</v>
      </c>
      <c r="F143" s="166">
        <f t="shared" si="36"/>
        <v>0.13011736389456438</v>
      </c>
      <c r="G143" s="241">
        <f t="shared" si="37"/>
        <v>0.10995014108548161</v>
      </c>
      <c r="H143" s="242">
        <f t="shared" si="38"/>
        <v>0.89004985891451838</v>
      </c>
      <c r="I143" s="157"/>
    </row>
    <row r="144" spans="1:9" ht="15.75" x14ac:dyDescent="0.25">
      <c r="A144" s="164"/>
      <c r="B144" s="165">
        <f>DATE(21,9,1)</f>
        <v>7915</v>
      </c>
      <c r="C144" s="226">
        <v>32245918.620000001</v>
      </c>
      <c r="D144" s="226">
        <v>3519488.37</v>
      </c>
      <c r="E144" s="226">
        <v>3031984.28</v>
      </c>
      <c r="F144" s="166">
        <f t="shared" si="36"/>
        <v>0.16078714299930352</v>
      </c>
      <c r="G144" s="241">
        <f t="shared" si="37"/>
        <v>0.10914523513735767</v>
      </c>
      <c r="H144" s="242">
        <f t="shared" si="38"/>
        <v>0.89085476486264237</v>
      </c>
      <c r="I144" s="157"/>
    </row>
    <row r="145" spans="1:9" ht="15.75" x14ac:dyDescent="0.25">
      <c r="A145" s="164"/>
      <c r="B145" s="165">
        <f>DATE(21,10,1)</f>
        <v>7945</v>
      </c>
      <c r="C145" s="226">
        <v>35165394.68</v>
      </c>
      <c r="D145" s="226">
        <v>3955357.96</v>
      </c>
      <c r="E145" s="226">
        <v>2770053.1200000001</v>
      </c>
      <c r="F145" s="166">
        <f t="shared" si="36"/>
        <v>0.42789967868919415</v>
      </c>
      <c r="G145" s="241">
        <f t="shared" si="37"/>
        <v>0.11247870231496575</v>
      </c>
      <c r="H145" s="242">
        <f t="shared" si="38"/>
        <v>0.88752129768503429</v>
      </c>
      <c r="I145" s="157"/>
    </row>
    <row r="146" spans="1:9" ht="15.75" x14ac:dyDescent="0.25">
      <c r="A146" s="164"/>
      <c r="B146" s="165">
        <f>DATE(21,11,1)</f>
        <v>7976</v>
      </c>
      <c r="C146" s="226">
        <v>32606589.75</v>
      </c>
      <c r="D146" s="226">
        <v>3600834.91</v>
      </c>
      <c r="E146" s="226">
        <v>2396488.16</v>
      </c>
      <c r="F146" s="166">
        <f t="shared" si="36"/>
        <v>0.50254650538311019</v>
      </c>
      <c r="G146" s="241">
        <f t="shared" si="37"/>
        <v>0.110432735763175</v>
      </c>
      <c r="H146" s="242">
        <f t="shared" si="38"/>
        <v>0.88956726423682497</v>
      </c>
      <c r="I146" s="157"/>
    </row>
    <row r="147" spans="1:9" ht="15.75" x14ac:dyDescent="0.25">
      <c r="A147" s="164"/>
      <c r="B147" s="165">
        <f>DATE(21,12,1)</f>
        <v>8006</v>
      </c>
      <c r="C147" s="226">
        <v>36407288.43</v>
      </c>
      <c r="D147" s="226">
        <v>3929490.08</v>
      </c>
      <c r="E147" s="226">
        <v>2648752.5099999998</v>
      </c>
      <c r="F147" s="166">
        <f t="shared" si="36"/>
        <v>0.48352481598969788</v>
      </c>
      <c r="G147" s="241">
        <f t="shared" si="37"/>
        <v>0.10793141289704118</v>
      </c>
      <c r="H147" s="242">
        <f t="shared" si="38"/>
        <v>0.89206858710295878</v>
      </c>
      <c r="I147" s="157"/>
    </row>
    <row r="148" spans="1:9" ht="15.75" x14ac:dyDescent="0.25">
      <c r="A148" s="164"/>
      <c r="B148" s="165">
        <f>DATE(22,1,1)</f>
        <v>8037</v>
      </c>
      <c r="C148" s="226">
        <v>30326927.199999999</v>
      </c>
      <c r="D148" s="226">
        <v>3412089.33</v>
      </c>
      <c r="E148" s="226">
        <v>3041407.25</v>
      </c>
      <c r="F148" s="166">
        <f t="shared" si="36"/>
        <v>0.12187847582726716</v>
      </c>
      <c r="G148" s="241">
        <f t="shared" si="37"/>
        <v>0.11251022259848338</v>
      </c>
      <c r="H148" s="242">
        <f t="shared" si="38"/>
        <v>0.88748977740151658</v>
      </c>
      <c r="I148" s="157"/>
    </row>
    <row r="149" spans="1:9" ht="15.75" x14ac:dyDescent="0.25">
      <c r="A149" s="164"/>
      <c r="B149" s="165">
        <f>DATE(22,2,1)</f>
        <v>8068</v>
      </c>
      <c r="C149" s="226">
        <v>34706950.130000003</v>
      </c>
      <c r="D149" s="226">
        <v>3898386.72</v>
      </c>
      <c r="E149" s="226">
        <v>2699820.17</v>
      </c>
      <c r="F149" s="166">
        <f t="shared" si="36"/>
        <v>0.44394310529208331</v>
      </c>
      <c r="G149" s="241">
        <f t="shared" si="37"/>
        <v>0.112322941237937</v>
      </c>
      <c r="H149" s="242">
        <f t="shared" si="38"/>
        <v>0.88767705876206304</v>
      </c>
      <c r="I149" s="157"/>
    </row>
    <row r="150" spans="1:9" ht="15.75" thickBot="1" x14ac:dyDescent="0.25">
      <c r="A150" s="167"/>
      <c r="B150" s="168"/>
      <c r="C150" s="226"/>
      <c r="D150" s="226"/>
      <c r="E150" s="226"/>
      <c r="F150" s="166"/>
      <c r="G150" s="241"/>
      <c r="H150" s="242"/>
      <c r="I150" s="157"/>
    </row>
    <row r="151" spans="1:9" ht="17.25" thickTop="1" thickBot="1" x14ac:dyDescent="0.3">
      <c r="A151" s="169" t="s">
        <v>14</v>
      </c>
      <c r="B151" s="155"/>
      <c r="C151" s="223">
        <f>SUM(C142:C150)</f>
        <v>270082561.29000002</v>
      </c>
      <c r="D151" s="223">
        <f>SUM(D142:D150)</f>
        <v>30077248.600000001</v>
      </c>
      <c r="E151" s="223">
        <f>SUM(E142:E150)</f>
        <v>23306271.32</v>
      </c>
      <c r="F151" s="176">
        <f>(+D151-E151)/E151</f>
        <v>0.29052168779094095</v>
      </c>
      <c r="G151" s="245">
        <f>D151/C151</f>
        <v>0.11136316412411641</v>
      </c>
      <c r="H151" s="246">
        <f>1-G151</f>
        <v>0.8886368358758836</v>
      </c>
      <c r="I151" s="157"/>
    </row>
    <row r="152" spans="1:9" ht="16.5" thickTop="1" thickBot="1" x14ac:dyDescent="0.25">
      <c r="A152" s="171"/>
      <c r="B152" s="172"/>
      <c r="C152" s="227"/>
      <c r="D152" s="227"/>
      <c r="E152" s="227"/>
      <c r="F152" s="173"/>
      <c r="G152" s="243"/>
      <c r="H152" s="244"/>
      <c r="I152" s="157"/>
    </row>
    <row r="153" spans="1:9" ht="17.25" thickTop="1" thickBot="1" x14ac:dyDescent="0.3">
      <c r="A153" s="184" t="s">
        <v>38</v>
      </c>
      <c r="B153" s="155"/>
      <c r="C153" s="223">
        <f>C151+C140+C107+C85+C63+C41+C19+C52+C129+C30+C96+C118+C74</f>
        <v>11036928394.449999</v>
      </c>
      <c r="D153" s="223">
        <f>D151+D140+D107+D85+D63+D41+D19+D52+D129+D30+D96+D118+D74</f>
        <v>1066585465.3499999</v>
      </c>
      <c r="E153" s="223">
        <f>E151+E140+E107+E85+E63+E41+E19+E52+E129+E30+E96+E118+E74</f>
        <v>908286320.07000005</v>
      </c>
      <c r="F153" s="170">
        <f>(+D153-E153)/E153</f>
        <v>0.17428330888854521</v>
      </c>
      <c r="G153" s="236">
        <f>D153/C153</f>
        <v>9.6637889386538042E-2</v>
      </c>
      <c r="H153" s="237">
        <f>1-G153</f>
        <v>0.90336211061346194</v>
      </c>
      <c r="I153" s="157"/>
    </row>
    <row r="154" spans="1:9" ht="17.25" thickTop="1" thickBot="1" x14ac:dyDescent="0.3">
      <c r="A154" s="184"/>
      <c r="B154" s="155"/>
      <c r="C154" s="223"/>
      <c r="D154" s="223"/>
      <c r="E154" s="223"/>
      <c r="F154" s="170"/>
      <c r="G154" s="236"/>
      <c r="H154" s="237"/>
      <c r="I154" s="157"/>
    </row>
    <row r="155" spans="1:9" ht="17.25" thickTop="1" thickBot="1" x14ac:dyDescent="0.3">
      <c r="A155" s="184" t="s">
        <v>39</v>
      </c>
      <c r="B155" s="155"/>
      <c r="C155" s="223">
        <f>SUM(C17+C28+C39+C50+C61+C72+C83+C94+C105+C116+C127+C138+C149)</f>
        <v>1304185101.6000001</v>
      </c>
      <c r="D155" s="223">
        <f>SUM(D17+D28+D39+D50+D61+D72+D83+D94+D105+D116+D127+D138+D149)</f>
        <v>125744995.28000003</v>
      </c>
      <c r="E155" s="223">
        <f>SUM(E17+E28+E39+E50+E61+E72+E83+E94+E105+E116+E127+E138+E149)</f>
        <v>105500708.76000002</v>
      </c>
      <c r="F155" s="170">
        <f>(+D155-E155)/E155</f>
        <v>0.19188768263209541</v>
      </c>
      <c r="G155" s="236">
        <f>D155/C155</f>
        <v>9.6416524867316444E-2</v>
      </c>
      <c r="H155" s="246">
        <f>1-G155</f>
        <v>0.90358347513268356</v>
      </c>
      <c r="I155" s="157"/>
    </row>
    <row r="156" spans="1:9" ht="16.5" thickTop="1" x14ac:dyDescent="0.25">
      <c r="A156" s="185"/>
      <c r="B156" s="186"/>
      <c r="C156" s="231"/>
      <c r="D156" s="231"/>
      <c r="E156" s="231"/>
      <c r="F156" s="187"/>
      <c r="G156" s="250"/>
      <c r="H156" s="250"/>
      <c r="I156" s="151"/>
    </row>
    <row r="157" spans="1:9" ht="16.5" customHeight="1" x14ac:dyDescent="0.3">
      <c r="A157" s="188" t="s">
        <v>49</v>
      </c>
      <c r="B157" s="189"/>
      <c r="C157" s="232"/>
      <c r="D157" s="232"/>
      <c r="E157" s="232"/>
      <c r="F157" s="190"/>
      <c r="G157" s="251"/>
      <c r="H157" s="251"/>
      <c r="I157" s="151"/>
    </row>
    <row r="158" spans="1:9" ht="15.75" x14ac:dyDescent="0.25">
      <c r="A158" s="191"/>
      <c r="B158" s="189"/>
      <c r="C158" s="232"/>
      <c r="D158" s="232"/>
      <c r="E158" s="232"/>
      <c r="F158" s="190"/>
      <c r="G158" s="257"/>
      <c r="H158" s="257"/>
      <c r="I158" s="151"/>
    </row>
    <row r="159" spans="1:9" ht="15.75" x14ac:dyDescent="0.25">
      <c r="A159" s="72"/>
      <c r="I159" s="151"/>
    </row>
  </sheetData>
  <phoneticPr fontId="0" type="noConversion"/>
  <printOptions horizontalCentered="1"/>
  <pageMargins left="0.75" right="0.25" top="0.31940000000000002" bottom="0.2" header="0.5" footer="0.5"/>
  <pageSetup scale="65" orientation="landscape" r:id="rId1"/>
  <headerFooter alignWithMargins="0"/>
  <rowBreaks count="3" manualBreakCount="3">
    <brk id="52" max="8" man="1"/>
    <brk id="96" max="8" man="1"/>
    <brk id="14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MONTHLY STATS</vt:lpstr>
      <vt:lpstr>YTD TAXES</vt:lpstr>
      <vt:lpstr>TABLE STATS</vt:lpstr>
      <vt:lpstr>HYBRID STATS</vt:lpstr>
      <vt:lpstr>SLOT STATS</vt:lpstr>
      <vt:lpstr>'MONTHLY STATS'!Print_Area</vt:lpstr>
      <vt:lpstr>'SLOT STATS'!Print_Area</vt:lpstr>
      <vt:lpstr>'TABLE STATS'!Print_Area</vt:lpstr>
      <vt:lpstr>'HYBRID STATS'!Print_Titles</vt:lpstr>
      <vt:lpstr>'MONTHLY STATS'!Print_Titles</vt:lpstr>
      <vt:lpstr>'SLOT STATS'!Print_Titles</vt:lpstr>
      <vt:lpstr>'TABLE STATS'!Print_Titles</vt:lpstr>
    </vt:vector>
  </TitlesOfParts>
  <Company>MGC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Bruns</dc:creator>
  <cp:lastModifiedBy>webteam-prod</cp:lastModifiedBy>
  <cp:lastPrinted>2022-03-09T15:17:37Z</cp:lastPrinted>
  <dcterms:created xsi:type="dcterms:W3CDTF">2003-09-09T14:41:43Z</dcterms:created>
  <dcterms:modified xsi:type="dcterms:W3CDTF">2022-03-09T20:06:46Z</dcterms:modified>
</cp:coreProperties>
</file>